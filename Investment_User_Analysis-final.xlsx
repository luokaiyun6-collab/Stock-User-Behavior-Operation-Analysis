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78F05AA3-2581-4203-A14B-D265E6DCF9D0}" xr6:coauthVersionLast="47" xr6:coauthVersionMax="47" xr10:uidLastSave="{00000000-0000-0000-0000-000000000000}"/>
  <bookViews>
    <workbookView xWindow="-110" yWindow="-110" windowWidth="25820" windowHeight="15500" activeTab="3" xr2:uid="{3546381B-2F0B-4E9E-8E3E-34891C17FA04}"/>
  </bookViews>
  <sheets>
    <sheet name="沪深300指数历史数据" sheetId="1" r:id="rId1"/>
    <sheet name="数据分析" sheetId="2" r:id="rId2"/>
    <sheet name="分析结果" sheetId="6" r:id="rId3"/>
    <sheet name="可视化" sheetId="7" r:id="rId4"/>
  </sheets>
  <calcPr calcId="191029"/>
  <pivotCaches>
    <pivotCache cacheId="0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I2" i="2"/>
  <c r="J36" i="2" s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3" i="2"/>
  <c r="J24" i="2"/>
  <c r="J25" i="2"/>
  <c r="J26" i="2"/>
  <c r="J27" i="2"/>
  <c r="J28" i="2"/>
  <c r="J29" i="2"/>
  <c r="J30" i="2"/>
  <c r="J31" i="2"/>
  <c r="J33" i="2"/>
  <c r="J40" i="2"/>
  <c r="J41" i="2"/>
  <c r="J42" i="2"/>
  <c r="J43" i="2"/>
  <c r="J44" i="2"/>
  <c r="J45" i="2"/>
  <c r="J46" i="2"/>
  <c r="J47" i="2"/>
  <c r="J48" i="2"/>
  <c r="J50" i="2"/>
  <c r="J57" i="2"/>
  <c r="J58" i="2"/>
  <c r="J59" i="2"/>
  <c r="J60" i="2"/>
  <c r="J61" i="2"/>
  <c r="J62" i="2"/>
  <c r="J63" i="2"/>
  <c r="J64" i="2"/>
  <c r="J65" i="2"/>
  <c r="J67" i="2"/>
  <c r="J74" i="2"/>
  <c r="J75" i="2"/>
  <c r="J76" i="2"/>
  <c r="J77" i="2"/>
  <c r="J78" i="2"/>
  <c r="J79" i="2"/>
  <c r="J80" i="2"/>
  <c r="J81" i="2"/>
  <c r="J82" i="2"/>
  <c r="J85" i="2"/>
  <c r="J91" i="2"/>
  <c r="J92" i="2"/>
  <c r="J93" i="2"/>
  <c r="J94" i="2"/>
  <c r="J95" i="2"/>
  <c r="J96" i="2"/>
  <c r="J97" i="2"/>
  <c r="J98" i="2"/>
  <c r="J99" i="2"/>
  <c r="J102" i="2"/>
  <c r="J108" i="2"/>
  <c r="J109" i="2"/>
  <c r="J110" i="2"/>
  <c r="J111" i="2"/>
  <c r="J112" i="2"/>
  <c r="J113" i="2"/>
  <c r="J114" i="2"/>
  <c r="J115" i="2"/>
  <c r="J117" i="2"/>
  <c r="J119" i="2"/>
  <c r="J125" i="2"/>
  <c r="J126" i="2"/>
  <c r="J127" i="2"/>
  <c r="J128" i="2"/>
  <c r="J129" i="2"/>
  <c r="J130" i="2"/>
  <c r="J131" i="2"/>
  <c r="J133" i="2"/>
  <c r="J134" i="2"/>
  <c r="J136" i="2"/>
  <c r="J142" i="2"/>
  <c r="J143" i="2"/>
  <c r="J144" i="2"/>
  <c r="J145" i="2"/>
  <c r="J146" i="2"/>
  <c r="J147" i="2"/>
  <c r="J149" i="2"/>
  <c r="J150" i="2"/>
  <c r="J151" i="2"/>
  <c r="J153" i="2"/>
  <c r="J159" i="2"/>
  <c r="J160" i="2"/>
  <c r="J161" i="2"/>
  <c r="J162" i="2"/>
  <c r="J163" i="2"/>
  <c r="J165" i="2"/>
  <c r="J166" i="2"/>
  <c r="J167" i="2"/>
  <c r="J168" i="2"/>
  <c r="J170" i="2"/>
  <c r="J176" i="2"/>
  <c r="J177" i="2"/>
  <c r="J178" i="2"/>
  <c r="J179" i="2"/>
  <c r="J181" i="2"/>
  <c r="J182" i="2"/>
  <c r="J183" i="2"/>
  <c r="J184" i="2"/>
  <c r="J185" i="2"/>
  <c r="J187" i="2"/>
  <c r="J193" i="2"/>
  <c r="J194" i="2"/>
  <c r="J195" i="2"/>
  <c r="J197" i="2"/>
  <c r="J198" i="2"/>
  <c r="J199" i="2"/>
  <c r="J200" i="2"/>
  <c r="J201" i="2"/>
  <c r="J202" i="2"/>
  <c r="J204" i="2"/>
  <c r="J210" i="2"/>
  <c r="J211" i="2"/>
  <c r="J213" i="2"/>
  <c r="J214" i="2"/>
  <c r="J215" i="2"/>
  <c r="J216" i="2"/>
  <c r="J217" i="2"/>
  <c r="J218" i="2"/>
  <c r="J219" i="2"/>
  <c r="J221" i="2"/>
  <c r="J227" i="2"/>
  <c r="J229" i="2"/>
  <c r="J230" i="2"/>
  <c r="J231" i="2"/>
  <c r="J232" i="2"/>
  <c r="J233" i="2"/>
  <c r="J234" i="2"/>
  <c r="J235" i="2"/>
  <c r="J236" i="2"/>
  <c r="J238" i="2"/>
  <c r="J245" i="2"/>
  <c r="J246" i="2"/>
  <c r="J247" i="2"/>
  <c r="J248" i="2"/>
  <c r="J249" i="2"/>
  <c r="J250" i="2"/>
  <c r="J251" i="2"/>
  <c r="J252" i="2"/>
  <c r="J253" i="2"/>
  <c r="J255" i="2"/>
  <c r="J262" i="2"/>
  <c r="J263" i="2"/>
  <c r="J264" i="2"/>
  <c r="J265" i="2"/>
  <c r="J266" i="2"/>
  <c r="J267" i="2"/>
  <c r="J268" i="2"/>
  <c r="J269" i="2"/>
  <c r="J270" i="2"/>
  <c r="J272" i="2"/>
  <c r="J279" i="2"/>
  <c r="J280" i="2"/>
  <c r="J281" i="2"/>
  <c r="J282" i="2"/>
  <c r="J283" i="2"/>
  <c r="J284" i="2"/>
  <c r="J285" i="2"/>
  <c r="J286" i="2"/>
  <c r="J287" i="2"/>
  <c r="J289" i="2"/>
  <c r="J296" i="2"/>
  <c r="J297" i="2"/>
  <c r="J298" i="2"/>
  <c r="J299" i="2"/>
  <c r="J300" i="2"/>
  <c r="J301" i="2"/>
  <c r="J302" i="2"/>
  <c r="J303" i="2"/>
  <c r="J304" i="2"/>
  <c r="J306" i="2"/>
  <c r="J313" i="2"/>
  <c r="J314" i="2"/>
  <c r="J315" i="2"/>
  <c r="J316" i="2"/>
  <c r="J317" i="2"/>
  <c r="J318" i="2"/>
  <c r="J319" i="2"/>
  <c r="J320" i="2"/>
  <c r="J321" i="2"/>
  <c r="J323" i="2"/>
  <c r="J330" i="2"/>
  <c r="J331" i="2"/>
  <c r="J332" i="2"/>
  <c r="J333" i="2"/>
  <c r="J334" i="2"/>
  <c r="J335" i="2"/>
  <c r="J336" i="2"/>
  <c r="J337" i="2"/>
  <c r="J338" i="2"/>
  <c r="J341" i="2"/>
  <c r="J347" i="2"/>
  <c r="J348" i="2"/>
  <c r="J349" i="2"/>
  <c r="J350" i="2"/>
  <c r="J351" i="2"/>
  <c r="J352" i="2"/>
  <c r="J353" i="2"/>
  <c r="J354" i="2"/>
  <c r="J355" i="2"/>
  <c r="J358" i="2"/>
  <c r="J364" i="2"/>
  <c r="J365" i="2"/>
  <c r="J366" i="2"/>
  <c r="J367" i="2"/>
  <c r="J368" i="2"/>
  <c r="J369" i="2"/>
  <c r="J370" i="2"/>
  <c r="J371" i="2"/>
  <c r="J373" i="2"/>
  <c r="J375" i="2"/>
  <c r="J381" i="2"/>
  <c r="J382" i="2"/>
  <c r="J383" i="2"/>
  <c r="J384" i="2"/>
  <c r="J385" i="2"/>
  <c r="J386" i="2"/>
  <c r="J387" i="2"/>
  <c r="J389" i="2"/>
  <c r="J390" i="2"/>
  <c r="J392" i="2"/>
  <c r="J398" i="2"/>
  <c r="J399" i="2"/>
  <c r="J400" i="2"/>
  <c r="J401" i="2"/>
  <c r="J402" i="2"/>
  <c r="J403" i="2"/>
  <c r="J405" i="2"/>
  <c r="J406" i="2"/>
  <c r="J407" i="2"/>
  <c r="J409" i="2"/>
  <c r="J415" i="2"/>
  <c r="J416" i="2"/>
  <c r="J417" i="2"/>
  <c r="J418" i="2"/>
  <c r="J419" i="2"/>
  <c r="J421" i="2"/>
  <c r="J422" i="2"/>
  <c r="J423" i="2"/>
  <c r="J424" i="2"/>
  <c r="J426" i="2"/>
  <c r="J432" i="2"/>
  <c r="J433" i="2"/>
  <c r="J434" i="2"/>
  <c r="J435" i="2"/>
  <c r="J437" i="2"/>
  <c r="J438" i="2"/>
  <c r="J439" i="2"/>
  <c r="J440" i="2"/>
  <c r="J441" i="2"/>
  <c r="J443" i="2"/>
  <c r="J449" i="2"/>
  <c r="J450" i="2"/>
  <c r="J451" i="2"/>
  <c r="J453" i="2"/>
  <c r="J454" i="2"/>
  <c r="J455" i="2"/>
  <c r="J456" i="2"/>
  <c r="J457" i="2"/>
  <c r="J458" i="2"/>
  <c r="J460" i="2"/>
  <c r="J466" i="2"/>
  <c r="J467" i="2"/>
  <c r="J469" i="2"/>
  <c r="J470" i="2"/>
  <c r="J471" i="2"/>
  <c r="J472" i="2"/>
  <c r="J473" i="2"/>
  <c r="J474" i="2"/>
  <c r="J475" i="2"/>
  <c r="J477" i="2"/>
  <c r="J483" i="2"/>
  <c r="J485" i="2"/>
  <c r="J486" i="2"/>
  <c r="J487" i="2"/>
  <c r="J488" i="2"/>
  <c r="J489" i="2"/>
  <c r="J490" i="2"/>
  <c r="J491" i="2"/>
  <c r="J492" i="2"/>
  <c r="J494" i="2"/>
  <c r="J501" i="2"/>
  <c r="J502" i="2"/>
  <c r="J503" i="2"/>
  <c r="J504" i="2"/>
  <c r="J505" i="2"/>
  <c r="J506" i="2"/>
  <c r="J507" i="2"/>
  <c r="J508" i="2"/>
  <c r="J509" i="2"/>
  <c r="J511" i="2"/>
  <c r="J518" i="2"/>
  <c r="J519" i="2"/>
  <c r="J520" i="2"/>
  <c r="J521" i="2"/>
  <c r="J522" i="2"/>
  <c r="J523" i="2"/>
  <c r="J524" i="2"/>
  <c r="J525" i="2"/>
  <c r="J526" i="2"/>
  <c r="J528" i="2"/>
  <c r="J535" i="2"/>
  <c r="J536" i="2"/>
  <c r="J537" i="2"/>
  <c r="J538" i="2"/>
  <c r="J539" i="2"/>
  <c r="J540" i="2"/>
  <c r="J541" i="2"/>
  <c r="J542" i="2"/>
  <c r="J543" i="2"/>
  <c r="J545" i="2"/>
  <c r="J552" i="2"/>
  <c r="J553" i="2"/>
  <c r="J554" i="2"/>
  <c r="J555" i="2"/>
  <c r="J556" i="2"/>
  <c r="J557" i="2"/>
  <c r="J558" i="2"/>
  <c r="J559" i="2"/>
  <c r="J560" i="2"/>
  <c r="J562" i="2"/>
  <c r="J569" i="2"/>
  <c r="J570" i="2"/>
  <c r="J571" i="2"/>
  <c r="J572" i="2"/>
  <c r="J573" i="2"/>
  <c r="J574" i="2"/>
  <c r="J575" i="2"/>
  <c r="J576" i="2"/>
  <c r="J577" i="2"/>
  <c r="J579" i="2"/>
  <c r="J586" i="2"/>
  <c r="J587" i="2"/>
  <c r="J588" i="2"/>
  <c r="J589" i="2"/>
  <c r="J590" i="2"/>
  <c r="J591" i="2"/>
  <c r="J592" i="2"/>
  <c r="J593" i="2"/>
  <c r="J594" i="2"/>
  <c r="J597" i="2"/>
  <c r="J603" i="2"/>
  <c r="J604" i="2"/>
  <c r="J605" i="2"/>
  <c r="J606" i="2"/>
  <c r="J607" i="2"/>
  <c r="J608" i="2"/>
  <c r="J609" i="2"/>
  <c r="J610" i="2"/>
  <c r="J611" i="2"/>
  <c r="J614" i="2"/>
  <c r="J620" i="2"/>
  <c r="J621" i="2"/>
  <c r="J622" i="2"/>
  <c r="J623" i="2"/>
  <c r="J624" i="2"/>
  <c r="J625" i="2"/>
  <c r="J626" i="2"/>
  <c r="J627" i="2"/>
  <c r="J629" i="2"/>
  <c r="J631" i="2"/>
  <c r="J637" i="2"/>
  <c r="J638" i="2"/>
  <c r="J639" i="2"/>
  <c r="J640" i="2"/>
  <c r="J641" i="2"/>
  <c r="J642" i="2"/>
  <c r="J643" i="2"/>
  <c r="J645" i="2"/>
  <c r="J646" i="2"/>
  <c r="J648" i="2"/>
  <c r="J654" i="2"/>
  <c r="J655" i="2"/>
  <c r="J656" i="2"/>
  <c r="J657" i="2"/>
  <c r="J658" i="2"/>
  <c r="J659" i="2"/>
  <c r="J661" i="2"/>
  <c r="J662" i="2"/>
  <c r="J663" i="2"/>
  <c r="J665" i="2"/>
  <c r="J671" i="2"/>
  <c r="J672" i="2"/>
  <c r="J673" i="2"/>
  <c r="J674" i="2"/>
  <c r="J675" i="2"/>
  <c r="J677" i="2"/>
  <c r="J678" i="2"/>
  <c r="J679" i="2"/>
  <c r="J680" i="2"/>
  <c r="J682" i="2"/>
  <c r="J688" i="2"/>
  <c r="J689" i="2"/>
  <c r="J690" i="2"/>
  <c r="J691" i="2"/>
  <c r="J693" i="2"/>
  <c r="J694" i="2"/>
  <c r="J695" i="2"/>
  <c r="J696" i="2"/>
  <c r="J697" i="2"/>
  <c r="J699" i="2"/>
  <c r="J705" i="2"/>
  <c r="J706" i="2"/>
  <c r="J707" i="2"/>
  <c r="J709" i="2"/>
  <c r="J710" i="2"/>
  <c r="J711" i="2"/>
  <c r="J712" i="2"/>
  <c r="J713" i="2"/>
  <c r="J714" i="2"/>
  <c r="J716" i="2"/>
  <c r="J722" i="2"/>
  <c r="J723" i="2"/>
  <c r="J725" i="2"/>
  <c r="J726" i="2"/>
  <c r="J727" i="2"/>
  <c r="J728" i="2"/>
  <c r="J729" i="2"/>
  <c r="J730" i="2"/>
  <c r="J731" i="2"/>
  <c r="J733" i="2"/>
  <c r="J739" i="2"/>
  <c r="J741" i="2"/>
  <c r="J742" i="2"/>
  <c r="J743" i="2"/>
  <c r="J744" i="2"/>
  <c r="J745" i="2"/>
  <c r="J746" i="2"/>
  <c r="J747" i="2"/>
  <c r="J748" i="2"/>
  <c r="J750" i="2"/>
  <c r="J757" i="2"/>
  <c r="J758" i="2"/>
  <c r="J759" i="2"/>
  <c r="J760" i="2"/>
  <c r="J761" i="2"/>
  <c r="J762" i="2"/>
  <c r="J763" i="2"/>
  <c r="J764" i="2"/>
  <c r="J765" i="2"/>
  <c r="J76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2" i="2"/>
  <c r="J755" i="2" l="1"/>
  <c r="J738" i="2"/>
  <c r="J721" i="2"/>
  <c r="J704" i="2"/>
  <c r="J687" i="2"/>
  <c r="J670" i="2"/>
  <c r="J653" i="2"/>
  <c r="J636" i="2"/>
  <c r="J619" i="2"/>
  <c r="J602" i="2"/>
  <c r="J585" i="2"/>
  <c r="J568" i="2"/>
  <c r="J551" i="2"/>
  <c r="J534" i="2"/>
  <c r="J517" i="2"/>
  <c r="J499" i="2"/>
  <c r="J482" i="2"/>
  <c r="J465" i="2"/>
  <c r="J448" i="2"/>
  <c r="J431" i="2"/>
  <c r="J414" i="2"/>
  <c r="J397" i="2"/>
  <c r="J380" i="2"/>
  <c r="J363" i="2"/>
  <c r="J346" i="2"/>
  <c r="J329" i="2"/>
  <c r="J312" i="2"/>
  <c r="J295" i="2"/>
  <c r="J278" i="2"/>
  <c r="J261" i="2"/>
  <c r="J243" i="2"/>
  <c r="J226" i="2"/>
  <c r="J209" i="2"/>
  <c r="J192" i="2"/>
  <c r="J175" i="2"/>
  <c r="J158" i="2"/>
  <c r="J141" i="2"/>
  <c r="J124" i="2"/>
  <c r="J107" i="2"/>
  <c r="J90" i="2"/>
  <c r="J73" i="2"/>
  <c r="J56" i="2"/>
  <c r="J39" i="2"/>
  <c r="J22" i="2"/>
  <c r="J771" i="2"/>
  <c r="J754" i="2"/>
  <c r="J737" i="2"/>
  <c r="J720" i="2"/>
  <c r="J703" i="2"/>
  <c r="J686" i="2"/>
  <c r="J669" i="2"/>
  <c r="J652" i="2"/>
  <c r="J635" i="2"/>
  <c r="J618" i="2"/>
  <c r="J601" i="2"/>
  <c r="J584" i="2"/>
  <c r="J567" i="2"/>
  <c r="J550" i="2"/>
  <c r="J533" i="2"/>
  <c r="J515" i="2"/>
  <c r="J498" i="2"/>
  <c r="J481" i="2"/>
  <c r="J464" i="2"/>
  <c r="J447" i="2"/>
  <c r="J430" i="2"/>
  <c r="J413" i="2"/>
  <c r="J396" i="2"/>
  <c r="J379" i="2"/>
  <c r="J362" i="2"/>
  <c r="J345" i="2"/>
  <c r="J328" i="2"/>
  <c r="J311" i="2"/>
  <c r="J294" i="2"/>
  <c r="J277" i="2"/>
  <c r="J259" i="2"/>
  <c r="J242" i="2"/>
  <c r="J225" i="2"/>
  <c r="J208" i="2"/>
  <c r="J191" i="2"/>
  <c r="J174" i="2"/>
  <c r="J157" i="2"/>
  <c r="J140" i="2"/>
  <c r="J123" i="2"/>
  <c r="J106" i="2"/>
  <c r="J89" i="2"/>
  <c r="J72" i="2"/>
  <c r="J55" i="2"/>
  <c r="J38" i="2"/>
  <c r="J770" i="2"/>
  <c r="J753" i="2"/>
  <c r="J736" i="2"/>
  <c r="J719" i="2"/>
  <c r="J702" i="2"/>
  <c r="J685" i="2"/>
  <c r="J668" i="2"/>
  <c r="J651" i="2"/>
  <c r="J634" i="2"/>
  <c r="J617" i="2"/>
  <c r="J600" i="2"/>
  <c r="J583" i="2"/>
  <c r="J566" i="2"/>
  <c r="J549" i="2"/>
  <c r="J531" i="2"/>
  <c r="J514" i="2"/>
  <c r="J497" i="2"/>
  <c r="J480" i="2"/>
  <c r="J463" i="2"/>
  <c r="J446" i="2"/>
  <c r="J429" i="2"/>
  <c r="J412" i="2"/>
  <c r="J395" i="2"/>
  <c r="J378" i="2"/>
  <c r="J361" i="2"/>
  <c r="J344" i="2"/>
  <c r="J327" i="2"/>
  <c r="J310" i="2"/>
  <c r="J293" i="2"/>
  <c r="J275" i="2"/>
  <c r="J258" i="2"/>
  <c r="J241" i="2"/>
  <c r="J224" i="2"/>
  <c r="J207" i="2"/>
  <c r="J190" i="2"/>
  <c r="J173" i="2"/>
  <c r="J156" i="2"/>
  <c r="J139" i="2"/>
  <c r="J122" i="2"/>
  <c r="J105" i="2"/>
  <c r="J88" i="2"/>
  <c r="J71" i="2"/>
  <c r="J54" i="2"/>
  <c r="J37" i="2"/>
  <c r="J769" i="2"/>
  <c r="J752" i="2"/>
  <c r="J735" i="2"/>
  <c r="J718" i="2"/>
  <c r="J701" i="2"/>
  <c r="J684" i="2"/>
  <c r="J667" i="2"/>
  <c r="J650" i="2"/>
  <c r="J633" i="2"/>
  <c r="J616" i="2"/>
  <c r="J599" i="2"/>
  <c r="J582" i="2"/>
  <c r="J565" i="2"/>
  <c r="J547" i="2"/>
  <c r="J530" i="2"/>
  <c r="J513" i="2"/>
  <c r="J496" i="2"/>
  <c r="J479" i="2"/>
  <c r="J462" i="2"/>
  <c r="J445" i="2"/>
  <c r="J428" i="2"/>
  <c r="J411" i="2"/>
  <c r="J394" i="2"/>
  <c r="J377" i="2"/>
  <c r="J360" i="2"/>
  <c r="J343" i="2"/>
  <c r="J326" i="2"/>
  <c r="J309" i="2"/>
  <c r="J291" i="2"/>
  <c r="J274" i="2"/>
  <c r="J257" i="2"/>
  <c r="J240" i="2"/>
  <c r="J223" i="2"/>
  <c r="J206" i="2"/>
  <c r="J189" i="2"/>
  <c r="J172" i="2"/>
  <c r="J155" i="2"/>
  <c r="J138" i="2"/>
  <c r="J121" i="2"/>
  <c r="J104" i="2"/>
  <c r="J87" i="2"/>
  <c r="J70" i="2"/>
  <c r="J53" i="2"/>
  <c r="J35" i="2"/>
  <c r="J768" i="2"/>
  <c r="J751" i="2"/>
  <c r="J734" i="2"/>
  <c r="J717" i="2"/>
  <c r="J700" i="2"/>
  <c r="J683" i="2"/>
  <c r="J666" i="2"/>
  <c r="J649" i="2"/>
  <c r="J632" i="2"/>
  <c r="J615" i="2"/>
  <c r="J598" i="2"/>
  <c r="J581" i="2"/>
  <c r="J563" i="2"/>
  <c r="J546" i="2"/>
  <c r="J529" i="2"/>
  <c r="J512" i="2"/>
  <c r="J495" i="2"/>
  <c r="J478" i="2"/>
  <c r="J461" i="2"/>
  <c r="J444" i="2"/>
  <c r="J427" i="2"/>
  <c r="J410" i="2"/>
  <c r="J393" i="2"/>
  <c r="J376" i="2"/>
  <c r="J359" i="2"/>
  <c r="J342" i="2"/>
  <c r="J325" i="2"/>
  <c r="J307" i="2"/>
  <c r="J290" i="2"/>
  <c r="J273" i="2"/>
  <c r="J256" i="2"/>
  <c r="J239" i="2"/>
  <c r="J222" i="2"/>
  <c r="J205" i="2"/>
  <c r="J188" i="2"/>
  <c r="J171" i="2"/>
  <c r="J154" i="2"/>
  <c r="J137" i="2"/>
  <c r="J120" i="2"/>
  <c r="J103" i="2"/>
  <c r="J86" i="2"/>
  <c r="J69" i="2"/>
  <c r="J51" i="2"/>
  <c r="J34" i="2"/>
  <c r="J766" i="2"/>
  <c r="J749" i="2"/>
  <c r="J732" i="2"/>
  <c r="J715" i="2"/>
  <c r="J698" i="2"/>
  <c r="J681" i="2"/>
  <c r="J664" i="2"/>
  <c r="J647" i="2"/>
  <c r="J630" i="2"/>
  <c r="J613" i="2"/>
  <c r="J595" i="2"/>
  <c r="J578" i="2"/>
  <c r="J561" i="2"/>
  <c r="J544" i="2"/>
  <c r="J527" i="2"/>
  <c r="J510" i="2"/>
  <c r="J493" i="2"/>
  <c r="J476" i="2"/>
  <c r="J459" i="2"/>
  <c r="J442" i="2"/>
  <c r="J425" i="2"/>
  <c r="J408" i="2"/>
  <c r="J391" i="2"/>
  <c r="J374" i="2"/>
  <c r="J357" i="2"/>
  <c r="J339" i="2"/>
  <c r="J322" i="2"/>
  <c r="J305" i="2"/>
  <c r="J288" i="2"/>
  <c r="J271" i="2"/>
  <c r="J254" i="2"/>
  <c r="J237" i="2"/>
  <c r="J220" i="2"/>
  <c r="J203" i="2"/>
  <c r="J186" i="2"/>
  <c r="J169" i="2"/>
  <c r="J152" i="2"/>
  <c r="J135" i="2"/>
  <c r="J118" i="2"/>
  <c r="J101" i="2"/>
  <c r="J83" i="2"/>
  <c r="J66" i="2"/>
  <c r="J49" i="2"/>
  <c r="J32" i="2"/>
  <c r="J756" i="2"/>
  <c r="J740" i="2"/>
  <c r="J724" i="2"/>
  <c r="J708" i="2"/>
  <c r="J692" i="2"/>
  <c r="J676" i="2"/>
  <c r="J660" i="2"/>
  <c r="J644" i="2"/>
  <c r="J628" i="2"/>
  <c r="J612" i="2"/>
  <c r="J596" i="2"/>
  <c r="J580" i="2"/>
  <c r="J564" i="2"/>
  <c r="J548" i="2"/>
  <c r="J532" i="2"/>
  <c r="J516" i="2"/>
  <c r="J500" i="2"/>
  <c r="J484" i="2"/>
  <c r="J468" i="2"/>
  <c r="J452" i="2"/>
  <c r="J436" i="2"/>
  <c r="J420" i="2"/>
  <c r="J404" i="2"/>
  <c r="J388" i="2"/>
  <c r="J372" i="2"/>
  <c r="J356" i="2"/>
  <c r="J340" i="2"/>
  <c r="J324" i="2"/>
  <c r="J308" i="2"/>
  <c r="J292" i="2"/>
  <c r="J276" i="2"/>
  <c r="J260" i="2"/>
  <c r="J244" i="2"/>
  <c r="J228" i="2"/>
  <c r="J212" i="2"/>
  <c r="J196" i="2"/>
  <c r="J180" i="2"/>
  <c r="J164" i="2"/>
  <c r="J148" i="2"/>
  <c r="J132" i="2"/>
  <c r="J116" i="2"/>
  <c r="J100" i="2"/>
  <c r="J84" i="2"/>
  <c r="J68" i="2"/>
  <c r="J52" i="2"/>
</calcChain>
</file>

<file path=xl/sharedStrings.xml><?xml version="1.0" encoding="utf-8"?>
<sst xmlns="http://schemas.openxmlformats.org/spreadsheetml/2006/main" count="1576" uniqueCount="785">
  <si>
    <t>日期</t>
  </si>
  <si>
    <t>收盘</t>
  </si>
  <si>
    <t>开盘</t>
  </si>
  <si>
    <t>高</t>
  </si>
  <si>
    <t>低</t>
  </si>
  <si>
    <t>交易量</t>
  </si>
  <si>
    <t>涨跌幅</t>
  </si>
  <si>
    <t>26.84B</t>
  </si>
  <si>
    <t>270.18K</t>
  </si>
  <si>
    <t>263.90K</t>
  </si>
  <si>
    <t>322.79K</t>
  </si>
  <si>
    <t>238.53K</t>
  </si>
  <si>
    <t>259.32K</t>
  </si>
  <si>
    <t>303.04K</t>
  </si>
  <si>
    <t>370.62K</t>
  </si>
  <si>
    <t>349.26K</t>
  </si>
  <si>
    <t>261.42K</t>
  </si>
  <si>
    <t>234.85K</t>
  </si>
  <si>
    <t>284.27K</t>
  </si>
  <si>
    <t>218.49K</t>
  </si>
  <si>
    <t>189.17K</t>
  </si>
  <si>
    <t>197.84K</t>
  </si>
  <si>
    <t>173.39K</t>
  </si>
  <si>
    <t>187.00K</t>
  </si>
  <si>
    <t>207.25K</t>
  </si>
  <si>
    <t>202.72K</t>
  </si>
  <si>
    <t>237.86K</t>
  </si>
  <si>
    <t>264.88K</t>
  </si>
  <si>
    <t>265.55K</t>
  </si>
  <si>
    <t>304.77K</t>
  </si>
  <si>
    <t>319.79K</t>
  </si>
  <si>
    <t>415.51K</t>
  </si>
  <si>
    <t>382.26K</t>
  </si>
  <si>
    <t>301.48K</t>
  </si>
  <si>
    <t>363.00K</t>
  </si>
  <si>
    <t>314.64K</t>
  </si>
  <si>
    <t>274.20K</t>
  </si>
  <si>
    <t>266.35K</t>
  </si>
  <si>
    <t>282.72K</t>
  </si>
  <si>
    <t>267.61K</t>
  </si>
  <si>
    <t>325.28K</t>
  </si>
  <si>
    <t>254.00K</t>
  </si>
  <si>
    <t>364.95K</t>
  </si>
  <si>
    <t>301.45K</t>
  </si>
  <si>
    <t>294.83K</t>
  </si>
  <si>
    <t>254.69K</t>
  </si>
  <si>
    <t>238.81K</t>
  </si>
  <si>
    <t>259.10K</t>
  </si>
  <si>
    <t>296.97K</t>
  </si>
  <si>
    <t>234.15K</t>
  </si>
  <si>
    <t>170.76K</t>
  </si>
  <si>
    <t>180.38K</t>
  </si>
  <si>
    <t>200.40K</t>
  </si>
  <si>
    <t>175.40K</t>
  </si>
  <si>
    <t>139.43K</t>
  </si>
  <si>
    <t>153.71K</t>
  </si>
  <si>
    <t>169.26K</t>
  </si>
  <si>
    <t>165.25K</t>
  </si>
  <si>
    <t>154.88K</t>
  </si>
  <si>
    <t>151.68K</t>
  </si>
  <si>
    <t>178.43K</t>
  </si>
  <si>
    <t>165.17K</t>
  </si>
  <si>
    <t>167.59K</t>
  </si>
  <si>
    <t>212.83K</t>
  </si>
  <si>
    <t>168.42K</t>
  </si>
  <si>
    <t>169.11K</t>
  </si>
  <si>
    <t>184.16K</t>
  </si>
  <si>
    <t>199.62K</t>
  </si>
  <si>
    <t>196.80K</t>
  </si>
  <si>
    <t>147.20K</t>
  </si>
  <si>
    <t>169.76K</t>
  </si>
  <si>
    <t>148.49K</t>
  </si>
  <si>
    <t>200.38K</t>
  </si>
  <si>
    <t>142.90K</t>
  </si>
  <si>
    <t>150.31K</t>
  </si>
  <si>
    <t>156.20K</t>
  </si>
  <si>
    <t>169.57K</t>
  </si>
  <si>
    <t>185.83K</t>
  </si>
  <si>
    <t>222.85K</t>
  </si>
  <si>
    <t>194.56K</t>
  </si>
  <si>
    <t>172.93K</t>
  </si>
  <si>
    <t>177.71K</t>
  </si>
  <si>
    <t>188.96K</t>
  </si>
  <si>
    <t>192.09K</t>
  </si>
  <si>
    <t>207.37K</t>
  </si>
  <si>
    <t>209.46K</t>
  </si>
  <si>
    <t>186.64K</t>
  </si>
  <si>
    <t>236.03K</t>
  </si>
  <si>
    <t>212.50K</t>
  </si>
  <si>
    <t>224.24K</t>
  </si>
  <si>
    <t>203.05K</t>
  </si>
  <si>
    <t>233.22K</t>
  </si>
  <si>
    <t>239.87K</t>
  </si>
  <si>
    <t>281.47K</t>
  </si>
  <si>
    <t>273.29K</t>
  </si>
  <si>
    <t>246.21K</t>
  </si>
  <si>
    <t>220.91K</t>
  </si>
  <si>
    <t>262.20K</t>
  </si>
  <si>
    <t>208.81K</t>
  </si>
  <si>
    <t>200.46K</t>
  </si>
  <si>
    <t>185.33K</t>
  </si>
  <si>
    <t>215.71K</t>
  </si>
  <si>
    <t>218.42K</t>
  </si>
  <si>
    <t>256.91K</t>
  </si>
  <si>
    <t>248.24K</t>
  </si>
  <si>
    <t>284.77K</t>
  </si>
  <si>
    <t>372.95K</t>
  </si>
  <si>
    <t>315.01K</t>
  </si>
  <si>
    <t>319.02K</t>
  </si>
  <si>
    <t>347.68K</t>
  </si>
  <si>
    <t>247.98K</t>
  </si>
  <si>
    <t>274.36K</t>
  </si>
  <si>
    <t>208.48K</t>
  </si>
  <si>
    <t>229.82K</t>
  </si>
  <si>
    <t>220.48K</t>
  </si>
  <si>
    <t>252.83K</t>
  </si>
  <si>
    <t>196.46K</t>
  </si>
  <si>
    <t>225.04K</t>
  </si>
  <si>
    <t>309.86K</t>
  </si>
  <si>
    <t>235.72K</t>
  </si>
  <si>
    <t>249.27K</t>
  </si>
  <si>
    <t>231.89K</t>
  </si>
  <si>
    <t>266.44K</t>
  </si>
  <si>
    <t>253.26K</t>
  </si>
  <si>
    <t>203.60K</t>
  </si>
  <si>
    <t>221.38K</t>
  </si>
  <si>
    <t>267.64K</t>
  </si>
  <si>
    <t>249.63K</t>
  </si>
  <si>
    <t>307.94K</t>
  </si>
  <si>
    <t>254.32K</t>
  </si>
  <si>
    <t>303.93K</t>
  </si>
  <si>
    <t>320.37K</t>
  </si>
  <si>
    <t>351.94K</t>
  </si>
  <si>
    <t>296.84K</t>
  </si>
  <si>
    <t>333.13K</t>
  </si>
  <si>
    <t>270.62K</t>
  </si>
  <si>
    <t>358.09K</t>
  </si>
  <si>
    <t>290.44K</t>
  </si>
  <si>
    <t>259.03K</t>
  </si>
  <si>
    <t>246.48K</t>
  </si>
  <si>
    <t>250.82K</t>
  </si>
  <si>
    <t>261.33K</t>
  </si>
  <si>
    <t>221.10K</t>
  </si>
  <si>
    <t>213.94K</t>
  </si>
  <si>
    <t>177.29K</t>
  </si>
  <si>
    <t>190.44K</t>
  </si>
  <si>
    <t>173.17K</t>
  </si>
  <si>
    <t>198.64K</t>
  </si>
  <si>
    <t>176.68K</t>
  </si>
  <si>
    <t>178.85K</t>
  </si>
  <si>
    <t>162.28K</t>
  </si>
  <si>
    <t>196.22K</t>
  </si>
  <si>
    <t>267.09K</t>
  </si>
  <si>
    <t>249.85K</t>
  </si>
  <si>
    <t>230.81K</t>
  </si>
  <si>
    <t>222.76K</t>
  </si>
  <si>
    <t>273.60K</t>
  </si>
  <si>
    <t>319.63K</t>
  </si>
  <si>
    <t>300.51K</t>
  </si>
  <si>
    <t>257.60K</t>
  </si>
  <si>
    <t>223.27K</t>
  </si>
  <si>
    <t>186.21K</t>
  </si>
  <si>
    <t>161.25K</t>
  </si>
  <si>
    <t>151.03K</t>
  </si>
  <si>
    <t>191.04K</t>
  </si>
  <si>
    <t>207.92K</t>
  </si>
  <si>
    <t>262.05K</t>
  </si>
  <si>
    <t>209.78K</t>
  </si>
  <si>
    <t>173.29K</t>
  </si>
  <si>
    <t>156.40K</t>
  </si>
  <si>
    <t>131.14K</t>
  </si>
  <si>
    <t>157.20K</t>
  </si>
  <si>
    <t>141.00K</t>
  </si>
  <si>
    <t>147.06K</t>
  </si>
  <si>
    <t>128.96K</t>
  </si>
  <si>
    <t>145.17K</t>
  </si>
  <si>
    <t>165.32K</t>
  </si>
  <si>
    <t>187.21K</t>
  </si>
  <si>
    <t>163.66K</t>
  </si>
  <si>
    <t>133.80K</t>
  </si>
  <si>
    <t>118.15K</t>
  </si>
  <si>
    <t>130.28K</t>
  </si>
  <si>
    <t>127.53K</t>
  </si>
  <si>
    <t>122.34K</t>
  </si>
  <si>
    <t>137.34K</t>
  </si>
  <si>
    <t>172.54K</t>
  </si>
  <si>
    <t>134.00K</t>
  </si>
  <si>
    <t>142.42K</t>
  </si>
  <si>
    <t>145.56K</t>
  </si>
  <si>
    <t>136.31K</t>
  </si>
  <si>
    <t>110.99K</t>
  </si>
  <si>
    <t>122.88K</t>
  </si>
  <si>
    <t>116.80K</t>
  </si>
  <si>
    <t>131.40K</t>
  </si>
  <si>
    <t>111.67K</t>
  </si>
  <si>
    <t>108.47K</t>
  </si>
  <si>
    <t>89.03K</t>
  </si>
  <si>
    <t>98.57K</t>
  </si>
  <si>
    <t>109.60K</t>
  </si>
  <si>
    <t>120.28K</t>
  </si>
  <si>
    <t>107.60K</t>
  </si>
  <si>
    <t>109.79K</t>
  </si>
  <si>
    <t>104.89K</t>
  </si>
  <si>
    <t>98.64K</t>
  </si>
  <si>
    <t>118.41K</t>
  </si>
  <si>
    <t>138.08K</t>
  </si>
  <si>
    <t>172.03K</t>
  </si>
  <si>
    <t>147.32K</t>
  </si>
  <si>
    <t>153.33K</t>
  </si>
  <si>
    <t>119.39K</t>
  </si>
  <si>
    <t>124.96K</t>
  </si>
  <si>
    <t>161.17K</t>
  </si>
  <si>
    <t>158.52K</t>
  </si>
  <si>
    <t>143.68K</t>
  </si>
  <si>
    <t>111.52K</t>
  </si>
  <si>
    <t>125.15K</t>
  </si>
  <si>
    <t>124.59K</t>
  </si>
  <si>
    <t>117.17K</t>
  </si>
  <si>
    <t>131.99K</t>
  </si>
  <si>
    <t>125.69K</t>
  </si>
  <si>
    <t>121.36K</t>
  </si>
  <si>
    <t>102.95K</t>
  </si>
  <si>
    <t>122.37K</t>
  </si>
  <si>
    <t>156.36K</t>
  </si>
  <si>
    <t>134.01K</t>
  </si>
  <si>
    <t>164.46K</t>
  </si>
  <si>
    <t>168.76K</t>
  </si>
  <si>
    <t>227.25K</t>
  </si>
  <si>
    <t>262.31K</t>
  </si>
  <si>
    <t>280.20K</t>
  </si>
  <si>
    <t>312.58K</t>
  </si>
  <si>
    <t>142.60K</t>
  </si>
  <si>
    <t>113.04K</t>
  </si>
  <si>
    <t>140.38K</t>
  </si>
  <si>
    <t>166.80K</t>
  </si>
  <si>
    <t>126.36K</t>
  </si>
  <si>
    <t>126.79K</t>
  </si>
  <si>
    <t>131.16K</t>
  </si>
  <si>
    <t>140.48K</t>
  </si>
  <si>
    <t>152.24K</t>
  </si>
  <si>
    <t>165.91K</t>
  </si>
  <si>
    <t>133.76K</t>
  </si>
  <si>
    <t>144.42K</t>
  </si>
  <si>
    <t>140.21K</t>
  </si>
  <si>
    <t>162.20K</t>
  </si>
  <si>
    <t>216.14K</t>
  </si>
  <si>
    <t>156.54K</t>
  </si>
  <si>
    <t>156.73K</t>
  </si>
  <si>
    <t>144.75K</t>
  </si>
  <si>
    <t>152.77K</t>
  </si>
  <si>
    <t>166.73K</t>
  </si>
  <si>
    <t>193.96K</t>
  </si>
  <si>
    <t>158.65K</t>
  </si>
  <si>
    <t>149.85K</t>
  </si>
  <si>
    <t>177.62K</t>
  </si>
  <si>
    <t>198.10K</t>
  </si>
  <si>
    <t>202.89K</t>
  </si>
  <si>
    <t>191.06K</t>
  </si>
  <si>
    <t>178.11K</t>
  </si>
  <si>
    <t>220.81K</t>
  </si>
  <si>
    <t>227.40K</t>
  </si>
  <si>
    <t>163.90K</t>
  </si>
  <si>
    <t>182.83K</t>
  </si>
  <si>
    <t>209.43K</t>
  </si>
  <si>
    <t>213.59K</t>
  </si>
  <si>
    <t>172.98K</t>
  </si>
  <si>
    <t>172.49K</t>
  </si>
  <si>
    <t>164.23K</t>
  </si>
  <si>
    <t>166.58K</t>
  </si>
  <si>
    <t>188.90K</t>
  </si>
  <si>
    <t>221.86K</t>
  </si>
  <si>
    <t>167.29K</t>
  </si>
  <si>
    <t>157.17K</t>
  </si>
  <si>
    <t>146.67K</t>
  </si>
  <si>
    <t>148.97K</t>
  </si>
  <si>
    <t>180.57K</t>
  </si>
  <si>
    <t>137.26K</t>
  </si>
  <si>
    <t>141.22K</t>
  </si>
  <si>
    <t>139.58K</t>
  </si>
  <si>
    <t>126.62K</t>
  </si>
  <si>
    <t>144.51K</t>
  </si>
  <si>
    <t>141.48K</t>
  </si>
  <si>
    <t>170.67K</t>
  </si>
  <si>
    <t>136.45K</t>
  </si>
  <si>
    <t>137.52K</t>
  </si>
  <si>
    <t>129.79K</t>
  </si>
  <si>
    <t>169.17K</t>
  </si>
  <si>
    <t>146.46K</t>
  </si>
  <si>
    <t>150.95K</t>
  </si>
  <si>
    <t>175.34K</t>
  </si>
  <si>
    <t>217.90K</t>
  </si>
  <si>
    <t>183.93K</t>
  </si>
  <si>
    <t>164.61K</t>
  </si>
  <si>
    <t>169.27K</t>
  </si>
  <si>
    <t>143.43K</t>
  </si>
  <si>
    <t>159.39K</t>
  </si>
  <si>
    <t>161.50K</t>
  </si>
  <si>
    <t>190.07K</t>
  </si>
  <si>
    <t>154.99K</t>
  </si>
  <si>
    <t>161.08K</t>
  </si>
  <si>
    <t>157.74K</t>
  </si>
  <si>
    <t>160.94K</t>
  </si>
  <si>
    <t>178.51K</t>
  </si>
  <si>
    <t>230.35K</t>
  </si>
  <si>
    <t>181.62K</t>
  </si>
  <si>
    <t>177.25K</t>
  </si>
  <si>
    <t>253.46K</t>
  </si>
  <si>
    <t>175.96K</t>
  </si>
  <si>
    <t>192.06K</t>
  </si>
  <si>
    <t>138.53K</t>
  </si>
  <si>
    <t>174.63K</t>
  </si>
  <si>
    <t>182.50K</t>
  </si>
  <si>
    <t>197.29K</t>
  </si>
  <si>
    <t>187.66K</t>
  </si>
  <si>
    <t>150.12K</t>
  </si>
  <si>
    <t>174.14K</t>
  </si>
  <si>
    <t>149.89K</t>
  </si>
  <si>
    <t>190.70K</t>
  </si>
  <si>
    <t>216.29K</t>
  </si>
  <si>
    <t>166.13K</t>
  </si>
  <si>
    <t>184.60K</t>
  </si>
  <si>
    <t>242.95K</t>
  </si>
  <si>
    <t>306.78K</t>
  </si>
  <si>
    <t>247.40K</t>
  </si>
  <si>
    <t>230.15K</t>
  </si>
  <si>
    <t>240.48K</t>
  </si>
  <si>
    <t>297.78K</t>
  </si>
  <si>
    <t>289.59K</t>
  </si>
  <si>
    <t>332.35K</t>
  </si>
  <si>
    <t>341.44K</t>
  </si>
  <si>
    <t>335.81K</t>
  </si>
  <si>
    <t>316.86K</t>
  </si>
  <si>
    <t>229.24K</t>
  </si>
  <si>
    <t>307.99K</t>
  </si>
  <si>
    <t>300.64K</t>
  </si>
  <si>
    <t>219.44K</t>
  </si>
  <si>
    <t>217.29K</t>
  </si>
  <si>
    <t>216.16K</t>
  </si>
  <si>
    <t>210.70K</t>
  </si>
  <si>
    <t>174.72K</t>
  </si>
  <si>
    <t>245.87K</t>
  </si>
  <si>
    <t>223.43K</t>
  </si>
  <si>
    <t>291.19K</t>
  </si>
  <si>
    <t>312.96K</t>
  </si>
  <si>
    <t>212.31K</t>
  </si>
  <si>
    <t>218.87K</t>
  </si>
  <si>
    <t>242.49K</t>
  </si>
  <si>
    <t>307.58K</t>
  </si>
  <si>
    <t>274.10K</t>
  </si>
  <si>
    <t>395.05K</t>
  </si>
  <si>
    <t>482.27K</t>
  </si>
  <si>
    <t>589.87K</t>
  </si>
  <si>
    <t>510.22K</t>
  </si>
  <si>
    <t>265.49K</t>
  </si>
  <si>
    <t>243.13K</t>
  </si>
  <si>
    <t>241.56K</t>
  </si>
  <si>
    <t>204.07K</t>
  </si>
  <si>
    <t>95.35K</t>
  </si>
  <si>
    <t>118.06K</t>
  </si>
  <si>
    <t>125.44K</t>
  </si>
  <si>
    <t>84.72K</t>
  </si>
  <si>
    <t>88.34K</t>
  </si>
  <si>
    <t>92.87K</t>
  </si>
  <si>
    <t>102.48K</t>
  </si>
  <si>
    <t>97.29K</t>
  </si>
  <si>
    <t>108.67K</t>
  </si>
  <si>
    <t>88.40K</t>
  </si>
  <si>
    <t>97.11K</t>
  </si>
  <si>
    <t>104.83K</t>
  </si>
  <si>
    <t>122.90K</t>
  </si>
  <si>
    <t>147.61K</t>
  </si>
  <si>
    <t>188.70K</t>
  </si>
  <si>
    <t>130.70K</t>
  </si>
  <si>
    <t>92.70K</t>
  </si>
  <si>
    <t>95.81K</t>
  </si>
  <si>
    <t>93.99K</t>
  </si>
  <si>
    <t>89.53K</t>
  </si>
  <si>
    <t>100.37K</t>
  </si>
  <si>
    <t>89.96K</t>
  </si>
  <si>
    <t>101.67K</t>
  </si>
  <si>
    <t>105.57K</t>
  </si>
  <si>
    <t>96.52K</t>
  </si>
  <si>
    <t>104.77K</t>
  </si>
  <si>
    <t>78.74K</t>
  </si>
  <si>
    <t>84.49K</t>
  </si>
  <si>
    <t>79.94K</t>
  </si>
  <si>
    <t>91.51K</t>
  </si>
  <si>
    <t>92.50K</t>
  </si>
  <si>
    <t>95.08K</t>
  </si>
  <si>
    <t>119.34K</t>
  </si>
  <si>
    <t>142.81K</t>
  </si>
  <si>
    <t>116.62K</t>
  </si>
  <si>
    <t>136.32K</t>
  </si>
  <si>
    <t>171.96K</t>
  </si>
  <si>
    <t>104.95K</t>
  </si>
  <si>
    <t>124.20K</t>
  </si>
  <si>
    <t>131.02K</t>
  </si>
  <si>
    <t>127.04K</t>
  </si>
  <si>
    <t>128.90K</t>
  </si>
  <si>
    <t>132.13K</t>
  </si>
  <si>
    <t>132.45K</t>
  </si>
  <si>
    <t>123.77K</t>
  </si>
  <si>
    <t>131.80K</t>
  </si>
  <si>
    <t>120.66K</t>
  </si>
  <si>
    <t>118.52K</t>
  </si>
  <si>
    <t>130.88K</t>
  </si>
  <si>
    <t>145.89K</t>
  </si>
  <si>
    <t>127.20K</t>
  </si>
  <si>
    <t>131.63K</t>
  </si>
  <si>
    <t>115.53K</t>
  </si>
  <si>
    <t>116.61K</t>
  </si>
  <si>
    <t>104.43K</t>
  </si>
  <si>
    <t>103.86K</t>
  </si>
  <si>
    <t>121.65K</t>
  </si>
  <si>
    <t>121.83K</t>
  </si>
  <si>
    <t>135.41K</t>
  </si>
  <si>
    <t>114.92K</t>
  </si>
  <si>
    <t>105.90K</t>
  </si>
  <si>
    <t>118.45K</t>
  </si>
  <si>
    <t>117.99K</t>
  </si>
  <si>
    <t>109.19K</t>
  </si>
  <si>
    <t>111.62K</t>
  </si>
  <si>
    <t>106.64K</t>
  </si>
  <si>
    <t>123.67K</t>
  </si>
  <si>
    <t>137.43K</t>
  </si>
  <si>
    <t>171.52K</t>
  </si>
  <si>
    <t>123.25K</t>
  </si>
  <si>
    <t>122.81K</t>
  </si>
  <si>
    <t>134.52K</t>
  </si>
  <si>
    <t>131.10K</t>
  </si>
  <si>
    <t>137.89K</t>
  </si>
  <si>
    <t>110.91K</t>
  </si>
  <si>
    <t>124.55K</t>
  </si>
  <si>
    <t>141.06K</t>
  </si>
  <si>
    <t>112.46K</t>
  </si>
  <si>
    <t>122.60K</t>
  </si>
  <si>
    <t>115.91K</t>
  </si>
  <si>
    <t>123.53K</t>
  </si>
  <si>
    <t>131.27K</t>
  </si>
  <si>
    <t>124.79K</t>
  </si>
  <si>
    <t>142.57K</t>
  </si>
  <si>
    <t>151.92K</t>
  </si>
  <si>
    <t>130.68K</t>
  </si>
  <si>
    <t>184.61K</t>
  </si>
  <si>
    <t>164.57K</t>
  </si>
  <si>
    <t>154.63K</t>
  </si>
  <si>
    <t>123.52K</t>
  </si>
  <si>
    <t>133.41K</t>
  </si>
  <si>
    <t>157.27K</t>
  </si>
  <si>
    <t>150.72K</t>
  </si>
  <si>
    <t>146.56K</t>
  </si>
  <si>
    <t>130.04K</t>
  </si>
  <si>
    <t>164.83K</t>
  </si>
  <si>
    <t>208.02K</t>
  </si>
  <si>
    <t>191.30K</t>
  </si>
  <si>
    <t>222.72K</t>
  </si>
  <si>
    <t>197.22K</t>
  </si>
  <si>
    <t>115.19K</t>
  </si>
  <si>
    <t>121.74K</t>
  </si>
  <si>
    <t>143.11K</t>
  </si>
  <si>
    <t>150.58K</t>
  </si>
  <si>
    <t>147.28K</t>
  </si>
  <si>
    <t>178.57K</t>
  </si>
  <si>
    <t>168.47K</t>
  </si>
  <si>
    <t>176.15K</t>
  </si>
  <si>
    <t>183.94K</t>
  </si>
  <si>
    <t>128.92K</t>
  </si>
  <si>
    <t>126.53K</t>
  </si>
  <si>
    <t>128.79K</t>
  </si>
  <si>
    <t>129.67K</t>
  </si>
  <si>
    <t>155.30K</t>
  </si>
  <si>
    <t>135.59K</t>
  </si>
  <si>
    <t>141.27K</t>
  </si>
  <si>
    <t>162.78K</t>
  </si>
  <si>
    <t>128.64K</t>
  </si>
  <si>
    <t>143.34K</t>
  </si>
  <si>
    <t>128.63K</t>
  </si>
  <si>
    <t>126.21K</t>
  </si>
  <si>
    <t>137.02K</t>
  </si>
  <si>
    <t>139.23K</t>
  </si>
  <si>
    <t>130.74K</t>
  </si>
  <si>
    <t>129.53K</t>
  </si>
  <si>
    <t>145.57K</t>
  </si>
  <si>
    <t>160.38K</t>
  </si>
  <si>
    <t>138.32K</t>
  </si>
  <si>
    <t>140.96K</t>
  </si>
  <si>
    <t>144.59K</t>
  </si>
  <si>
    <t>180.69K</t>
  </si>
  <si>
    <t>148.20K</t>
  </si>
  <si>
    <t>125.79K</t>
  </si>
  <si>
    <t>148.11K</t>
  </si>
  <si>
    <t>143.08K</t>
  </si>
  <si>
    <t>166.42K</t>
  </si>
  <si>
    <t>163.25K</t>
  </si>
  <si>
    <t>162.71K</t>
  </si>
  <si>
    <t>155.95K</t>
  </si>
  <si>
    <t>189.84K</t>
  </si>
  <si>
    <t>139.53K</t>
  </si>
  <si>
    <t>151.25K</t>
  </si>
  <si>
    <t>144.82K</t>
  </si>
  <si>
    <t>141.02K</t>
  </si>
  <si>
    <t>188.88K</t>
  </si>
  <si>
    <t>140.74K</t>
  </si>
  <si>
    <t>183.32K</t>
  </si>
  <si>
    <t>189.98K</t>
  </si>
  <si>
    <t>216.65K</t>
  </si>
  <si>
    <t>202.71K</t>
  </si>
  <si>
    <t>203.04K</t>
  </si>
  <si>
    <t>173.76K</t>
  </si>
  <si>
    <t>145.52K</t>
  </si>
  <si>
    <t>153.14K</t>
  </si>
  <si>
    <t>143.65K</t>
  </si>
  <si>
    <t>184.17K</t>
  </si>
  <si>
    <t>180.66K</t>
  </si>
  <si>
    <t>196.83K</t>
  </si>
  <si>
    <t>154.37K</t>
  </si>
  <si>
    <t>122.01K</t>
  </si>
  <si>
    <t>148.71K</t>
  </si>
  <si>
    <t>118.50K</t>
  </si>
  <si>
    <t>174.91K</t>
  </si>
  <si>
    <t>108.77K</t>
  </si>
  <si>
    <t>113.28K</t>
  </si>
  <si>
    <t>88.85K</t>
  </si>
  <si>
    <t>96.85K</t>
  </si>
  <si>
    <t>108.79K</t>
  </si>
  <si>
    <t>94.20K</t>
  </si>
  <si>
    <t>109.33K</t>
  </si>
  <si>
    <t>117.43K</t>
  </si>
  <si>
    <t>126.40K</t>
  </si>
  <si>
    <t>106.72K</t>
  </si>
  <si>
    <t>105.61K</t>
  </si>
  <si>
    <t>116.18K</t>
  </si>
  <si>
    <t>114.93K</t>
  </si>
  <si>
    <t>148.07K</t>
  </si>
  <si>
    <t>94.40K</t>
  </si>
  <si>
    <t>74.73K</t>
  </si>
  <si>
    <t>74.54K</t>
  </si>
  <si>
    <t>105.22K</t>
  </si>
  <si>
    <t>102.55K</t>
  </si>
  <si>
    <t>92.41K</t>
  </si>
  <si>
    <t>83.81K</t>
  </si>
  <si>
    <t>90.53K</t>
  </si>
  <si>
    <t>97.79K</t>
  </si>
  <si>
    <t>83.66K</t>
  </si>
  <si>
    <t>95.29K</t>
  </si>
  <si>
    <t>105.59K</t>
  </si>
  <si>
    <t>139.63K</t>
  </si>
  <si>
    <t>129.52K</t>
  </si>
  <si>
    <t>97.71K</t>
  </si>
  <si>
    <t>105.81K</t>
  </si>
  <si>
    <t>100.47K</t>
  </si>
  <si>
    <t>97.16K</t>
  </si>
  <si>
    <t>108.53K</t>
  </si>
  <si>
    <t>101.35K</t>
  </si>
  <si>
    <t>98.84K</t>
  </si>
  <si>
    <t>89.34K</t>
  </si>
  <si>
    <t>99.10K</t>
  </si>
  <si>
    <t>85.02K</t>
  </si>
  <si>
    <t>84.80K</t>
  </si>
  <si>
    <t>84.78K</t>
  </si>
  <si>
    <t>108.59K</t>
  </si>
  <si>
    <t>91.08K</t>
  </si>
  <si>
    <t>87.32K</t>
  </si>
  <si>
    <t>87.47K</t>
  </si>
  <si>
    <t>104.93K</t>
  </si>
  <si>
    <t>100.88K</t>
  </si>
  <si>
    <t>96.71K</t>
  </si>
  <si>
    <t>102.11K</t>
  </si>
  <si>
    <t>111.87K</t>
  </si>
  <si>
    <t>110.59K</t>
  </si>
  <si>
    <t>110.29K</t>
  </si>
  <si>
    <t>152.98K</t>
  </si>
  <si>
    <t>97.54K</t>
  </si>
  <si>
    <t>90.36K</t>
  </si>
  <si>
    <t>97.65K</t>
  </si>
  <si>
    <t>112.59K</t>
  </si>
  <si>
    <t>144.01K</t>
  </si>
  <si>
    <t>120.23K</t>
  </si>
  <si>
    <t>105.14K</t>
  </si>
  <si>
    <t>128.01K</t>
  </si>
  <si>
    <t>115.55K</t>
  </si>
  <si>
    <t>96.56K</t>
  </si>
  <si>
    <t>98.52K</t>
  </si>
  <si>
    <t>111.74K</t>
  </si>
  <si>
    <t>94.55K</t>
  </si>
  <si>
    <t>90.75K</t>
  </si>
  <si>
    <t>91.85K</t>
  </si>
  <si>
    <t>98.29K</t>
  </si>
  <si>
    <t>114.36K</t>
  </si>
  <si>
    <t>102.09K</t>
  </si>
  <si>
    <t>99.16K</t>
  </si>
  <si>
    <t>102.15K</t>
  </si>
  <si>
    <t>85.22K</t>
  </si>
  <si>
    <t>91.63K</t>
  </si>
  <si>
    <t>78.05K</t>
  </si>
  <si>
    <t>92.60K</t>
  </si>
  <si>
    <t>110.23K</t>
  </si>
  <si>
    <t>83.03K</t>
  </si>
  <si>
    <t>75.45K</t>
  </si>
  <si>
    <t>83.20K</t>
  </si>
  <si>
    <t>86.73K</t>
  </si>
  <si>
    <t>109.40K</t>
  </si>
  <si>
    <t>100.39K</t>
  </si>
  <si>
    <t>81.58K</t>
  </si>
  <si>
    <t>79.39K</t>
  </si>
  <si>
    <t>105.36K</t>
  </si>
  <si>
    <t>71.64K</t>
  </si>
  <si>
    <t>95.10K</t>
  </si>
  <si>
    <t>93.44K</t>
  </si>
  <si>
    <t>104.05K</t>
  </si>
  <si>
    <t>142.39K</t>
  </si>
  <si>
    <t>105.32K</t>
  </si>
  <si>
    <t>118.96K</t>
  </si>
  <si>
    <t>152.49K</t>
  </si>
  <si>
    <t>197.99K</t>
  </si>
  <si>
    <t>105.18K</t>
  </si>
  <si>
    <t>119.62K</t>
  </si>
  <si>
    <t>97.08K</t>
  </si>
  <si>
    <t>120.32K</t>
  </si>
  <si>
    <t>98.71K</t>
  </si>
  <si>
    <t>95.55K</t>
  </si>
  <si>
    <t>98.42K</t>
  </si>
  <si>
    <t>94.62K</t>
  </si>
  <si>
    <t>103.10K</t>
  </si>
  <si>
    <t>115.97K</t>
  </si>
  <si>
    <t>126.08K</t>
  </si>
  <si>
    <t>97.18K</t>
  </si>
  <si>
    <t>94.64K</t>
  </si>
  <si>
    <t>109.87K</t>
  </si>
  <si>
    <t>121.31K</t>
  </si>
  <si>
    <t>178.27K</t>
  </si>
  <si>
    <t>129.01K</t>
  </si>
  <si>
    <t>125.86K</t>
  </si>
  <si>
    <t>142.29K</t>
  </si>
  <si>
    <t>199.61K</t>
  </si>
  <si>
    <t>179.74K</t>
  </si>
  <si>
    <t>110.67K</t>
  </si>
  <si>
    <t>107.88K</t>
  </si>
  <si>
    <t>163.07K</t>
  </si>
  <si>
    <t>75.48K</t>
  </si>
  <si>
    <t>79.51K</t>
  </si>
  <si>
    <t>92.04K</t>
  </si>
  <si>
    <t>79.59K</t>
  </si>
  <si>
    <t>91.44K</t>
  </si>
  <si>
    <t>98.34K</t>
  </si>
  <si>
    <t>120.30K</t>
  </si>
  <si>
    <t>86.51K</t>
  </si>
  <si>
    <t>92.03K</t>
  </si>
  <si>
    <t>100.91K</t>
  </si>
  <si>
    <t>100.12K</t>
  </si>
  <si>
    <t>97.64K</t>
  </si>
  <si>
    <t>109.50K</t>
  </si>
  <si>
    <t>133.16K</t>
  </si>
  <si>
    <t>101.27K</t>
  </si>
  <si>
    <t>107.02K</t>
  </si>
  <si>
    <t>116.99K</t>
  </si>
  <si>
    <t>133.99K</t>
  </si>
  <si>
    <t>118.35K</t>
  </si>
  <si>
    <t>122.52K</t>
  </si>
  <si>
    <t>134.91K</t>
  </si>
  <si>
    <t>139.76K</t>
  </si>
  <si>
    <t>128.37K</t>
  </si>
  <si>
    <t>110.93K</t>
  </si>
  <si>
    <t>126.76K</t>
  </si>
  <si>
    <t>134.32K</t>
  </si>
  <si>
    <t>118.70K</t>
  </si>
  <si>
    <t>98.86K</t>
  </si>
  <si>
    <t>125.78K</t>
  </si>
  <si>
    <t>116.16K</t>
  </si>
  <si>
    <t>125.02K</t>
  </si>
  <si>
    <t>134.56K</t>
  </si>
  <si>
    <t>126.39K</t>
  </si>
  <si>
    <t>137.62K</t>
  </si>
  <si>
    <t>131.86K</t>
  </si>
  <si>
    <t>100.33K</t>
  </si>
  <si>
    <t>124.15K</t>
  </si>
  <si>
    <t>118.69K</t>
  </si>
  <si>
    <t>109.12K</t>
  </si>
  <si>
    <t>120.21K</t>
  </si>
  <si>
    <t>136.53K</t>
  </si>
  <si>
    <t>136.83K</t>
  </si>
  <si>
    <t>176.26K</t>
  </si>
  <si>
    <t>144.81K</t>
  </si>
  <si>
    <t>207.55K</t>
  </si>
  <si>
    <t>279.31K</t>
  </si>
  <si>
    <t>255.58K</t>
  </si>
  <si>
    <t>206.63K</t>
  </si>
  <si>
    <t>227.58K</t>
  </si>
  <si>
    <t>179.51K</t>
  </si>
  <si>
    <t>153.83K</t>
  </si>
  <si>
    <t>162.70K</t>
  </si>
  <si>
    <t>172.56K</t>
  </si>
  <si>
    <t>170.10K</t>
  </si>
  <si>
    <t>180.80K</t>
  </si>
  <si>
    <t>162.56K</t>
  </si>
  <si>
    <t>170.18K</t>
  </si>
  <si>
    <t>188.77K</t>
  </si>
  <si>
    <t>150.70K</t>
  </si>
  <si>
    <t>156.44K</t>
  </si>
  <si>
    <t>165.97K</t>
  </si>
  <si>
    <t>153.90K</t>
  </si>
  <si>
    <t>152.45K</t>
  </si>
  <si>
    <t>128.68K</t>
  </si>
  <si>
    <t>197.15K</t>
  </si>
  <si>
    <t>182.12K</t>
  </si>
  <si>
    <t>138.84K</t>
  </si>
  <si>
    <t>149.90K</t>
  </si>
  <si>
    <t>133.74K</t>
  </si>
  <si>
    <t>131.90K</t>
  </si>
  <si>
    <t>168.48K</t>
  </si>
  <si>
    <t>159.44K</t>
  </si>
  <si>
    <t>158.89K</t>
  </si>
  <si>
    <t>149.23K</t>
  </si>
  <si>
    <t>145.09K</t>
  </si>
  <si>
    <t>205.27K</t>
  </si>
  <si>
    <t>177.43K</t>
  </si>
  <si>
    <t>152.52K</t>
  </si>
  <si>
    <t>142.03K</t>
  </si>
  <si>
    <t>150.54K</t>
  </si>
  <si>
    <t>143.56K</t>
  </si>
  <si>
    <t>123.86K</t>
  </si>
  <si>
    <t>116.54K</t>
  </si>
  <si>
    <t>117.94K</t>
  </si>
  <si>
    <t>195.91K</t>
  </si>
  <si>
    <t>162.97K</t>
  </si>
  <si>
    <t>160.33K</t>
  </si>
  <si>
    <t>148.22K</t>
  </si>
  <si>
    <t>156.02K</t>
  </si>
  <si>
    <t>110.32K</t>
  </si>
  <si>
    <t>93.79K</t>
  </si>
  <si>
    <t>100.99K</t>
  </si>
  <si>
    <t>103.57K</t>
  </si>
  <si>
    <t>104.29K</t>
  </si>
  <si>
    <t>145.78K</t>
  </si>
  <si>
    <t>161.79K</t>
  </si>
  <si>
    <t>116.14K</t>
  </si>
  <si>
    <t>159.31K</t>
  </si>
  <si>
    <t>121.67K</t>
  </si>
  <si>
    <t>102.50K</t>
  </si>
  <si>
    <t>128.89K</t>
  </si>
  <si>
    <t>96.72K</t>
  </si>
  <si>
    <t>102.29K</t>
  </si>
  <si>
    <t>84.79K</t>
  </si>
  <si>
    <t>91.36K</t>
  </si>
  <si>
    <t>110.19K</t>
  </si>
  <si>
    <t>117.04K</t>
  </si>
  <si>
    <t>133.82K</t>
  </si>
  <si>
    <t>141.01K</t>
  </si>
  <si>
    <t>123.55K</t>
  </si>
  <si>
    <t>94.61K</t>
  </si>
  <si>
    <t>84.20K</t>
  </si>
  <si>
    <t>95.48K</t>
  </si>
  <si>
    <t>151.40K</t>
  </si>
  <si>
    <t>95.87K</t>
  </si>
  <si>
    <t>90.55K</t>
  </si>
  <si>
    <t>100.00K</t>
  </si>
  <si>
    <t>101.75K</t>
  </si>
  <si>
    <t>117.05K</t>
  </si>
  <si>
    <t>110.95K</t>
  </si>
  <si>
    <t>116.50K</t>
  </si>
  <si>
    <t>110.66K</t>
  </si>
  <si>
    <t>115.05K</t>
  </si>
  <si>
    <t>每日收益率</t>
    <phoneticPr fontId="18" type="noConversion"/>
  </si>
  <si>
    <t>20日均线</t>
    <phoneticPr fontId="18" type="noConversion"/>
  </si>
  <si>
    <t>用户类型</t>
  </si>
  <si>
    <t>波动率</t>
    <phoneticPr fontId="18" type="noConversion"/>
  </si>
  <si>
    <t>用户类型</t>
    <phoneticPr fontId="18" type="noConversion"/>
  </si>
  <si>
    <t>总计</t>
  </si>
  <si>
    <t>收盘</t>
    <phoneticPr fontId="18" type="noConversion"/>
  </si>
  <si>
    <t>开盘</t>
    <phoneticPr fontId="18" type="noConversion"/>
  </si>
  <si>
    <t>高</t>
    <phoneticPr fontId="18" type="noConversion"/>
  </si>
  <si>
    <t>低</t>
    <phoneticPr fontId="18" type="noConversion"/>
  </si>
  <si>
    <t>交易量</t>
    <phoneticPr fontId="18" type="noConversion"/>
  </si>
  <si>
    <t>低风险用户</t>
  </si>
  <si>
    <t>高风险用户</t>
  </si>
  <si>
    <t>平均每日收益率</t>
  </si>
  <si>
    <t>活跃记录数</t>
  </si>
  <si>
    <t>平均波动率</t>
  </si>
  <si>
    <t>最大收益率</t>
  </si>
  <si>
    <t>最小收益率</t>
  </si>
  <si>
    <t>不同风险用户行为分析（基于沪深300 2023-2026历史数据）
- 用户分层标准：波动率 &gt; 全样本平均 → 高风险用户
- 数据样本：770条交易日记录</t>
    <phoneticPr fontId="18" type="noConversion"/>
  </si>
  <si>
    <t>低风险用户（500条）：平均每日收益率 +0.019%（正收益，稳定），平均波动率 0.747%（较低）
高风险用户（250条）：平均每日收益率 -0.094%（负收益，波动剧烈），平均波动率 1.36%（明显更高）
总体：平均收益率 -0.019%（小幅负），波动率 0.95%
结论要点：高风险用户占比约32%，但收益率更差、波动更大 → 容易流失；低风险用户更稳定，适合重点维护。</t>
    <phoneticPr fontId="18" type="noConversion"/>
  </si>
  <si>
    <r>
      <rPr>
        <b/>
        <sz val="12"/>
        <color theme="1"/>
        <rFont val="Segoe UI Symbol"/>
        <family val="2"/>
      </rPr>
      <t>●</t>
    </r>
    <r>
      <rPr>
        <b/>
        <sz val="12"/>
        <color theme="1"/>
        <rFont val="等线"/>
        <family val="3"/>
        <charset val="134"/>
        <scheme val="minor"/>
      </rPr>
      <t>不同风险用户行为分析</t>
    </r>
    <phoneticPr fontId="18" type="noConversion"/>
  </si>
  <si>
    <t>未知</t>
  </si>
  <si>
    <t>(空白)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</si>
</sst>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2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Segoe UI Symbol"/>
      <family val="2"/>
    </font>
    <font>
      <b/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2"/>
      <charset val="134"/>
    </font>
    <font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vertical="center" shrinkToFit="1"/>
    </xf>
    <xf numFmtId="10" fontId="0" fillId="0" borderId="0" xfId="0" applyNumberFormat="1" applyAlignment="1">
      <alignment vertical="center" shrinkToFit="1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0" fontId="0" fillId="0" borderId="0" xfId="0" pivotButton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6" fontId="14" fillId="0" borderId="0" xfId="0" applyNumberFormat="1" applyFont="1" applyAlignment="1">
      <alignment vertical="center"/>
    </xf>
    <xf numFmtId="0" fontId="24" fillId="0" borderId="0" xfId="0" applyFont="1" applyAlignment="1">
      <alignment horizontal="left" vertical="top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8">
    <dxf>
      <font>
        <color rgb="FFFF0000"/>
      </font>
    </dxf>
    <dxf>
      <font>
        <color rgb="FFFF0000"/>
      </font>
    </dxf>
    <dxf>
      <numFmt numFmtId="176" formatCode="0.000%"/>
    </dxf>
    <dxf>
      <numFmt numFmtId="176" formatCode="0.000%"/>
    </dxf>
    <dxf>
      <numFmt numFmtId="176" formatCode="0.000%"/>
    </dxf>
    <dxf>
      <numFmt numFmtId="176" formatCode="0.000%"/>
    </dxf>
    <dxf>
      <numFmt numFmtId="176" formatCode="0.000%"/>
    </dxf>
    <dxf>
      <numFmt numFmtId="176" formatCode="0.000%"/>
    </dxf>
    <dxf>
      <numFmt numFmtId="176" formatCode="0.000%"/>
    </dxf>
    <dxf>
      <numFmt numFmtId="176" formatCode="0.000%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numFmt numFmtId="176" formatCode="0.000%"/>
    </dxf>
    <dxf>
      <numFmt numFmtId="176" formatCode="0.000%"/>
    </dxf>
    <dxf>
      <numFmt numFmtId="176" formatCode="0.000%"/>
    </dxf>
    <dxf>
      <numFmt numFmtId="176" formatCode="0.000%"/>
    </dxf>
    <dxf>
      <numFmt numFmtId="176" formatCode="0.000%"/>
    </dxf>
    <dxf>
      <numFmt numFmtId="176" formatCode="0.000%"/>
    </dxf>
    <dxf>
      <numFmt numFmtId="176" formatCode="0.000%"/>
    </dxf>
    <dxf>
      <numFmt numFmtId="176" formatCode="0.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effectLst/>
              </a:rPr>
              <a:t>高</a:t>
            </a:r>
            <a:r>
              <a:rPr lang="en-US" altLang="zh-CN">
                <a:effectLst/>
              </a:rPr>
              <a:t>/</a:t>
            </a:r>
            <a:r>
              <a:rPr lang="zh-CN" altLang="en-US">
                <a:effectLst/>
              </a:rPr>
              <a:t>低风险用户关键指标对比</a:t>
            </a:r>
          </a:p>
        </c:rich>
      </c:tx>
      <c:layout>
        <c:manualLayout>
          <c:xMode val="edge"/>
          <c:yMode val="edge"/>
          <c:x val="0.2833333333333333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可视化!$E$18</c:f>
              <c:strCache>
                <c:ptCount val="1"/>
                <c:pt idx="0">
                  <c:v>平均每日收益率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可视化!$D$19:$D$21</c:f>
              <c:strCache>
                <c:ptCount val="3"/>
                <c:pt idx="1">
                  <c:v>低风险用户</c:v>
                </c:pt>
                <c:pt idx="2">
                  <c:v>高风险用户</c:v>
                </c:pt>
              </c:strCache>
            </c:strRef>
          </c:cat>
          <c:val>
            <c:numRef>
              <c:f>可视化!$E$19:$E$21</c:f>
              <c:numCache>
                <c:formatCode>0.000%</c:formatCode>
                <c:ptCount val="3"/>
                <c:pt idx="1">
                  <c:v>1.901656993255944E-4</c:v>
                </c:pt>
                <c:pt idx="2">
                  <c:v>-9.437138534670582E-4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E-4A6F-A1FE-B95E767A89D8}"/>
            </c:ext>
          </c:extLst>
        </c:ser>
        <c:ser>
          <c:idx val="2"/>
          <c:order val="2"/>
          <c:tx>
            <c:strRef>
              <c:f>可视化!$G$18</c:f>
              <c:strCache>
                <c:ptCount val="1"/>
                <c:pt idx="0">
                  <c:v>平均波动率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可视化!$D$19:$D$21</c:f>
              <c:strCache>
                <c:ptCount val="3"/>
                <c:pt idx="1">
                  <c:v>低风险用户</c:v>
                </c:pt>
                <c:pt idx="2">
                  <c:v>高风险用户</c:v>
                </c:pt>
              </c:strCache>
            </c:strRef>
          </c:cat>
          <c:val>
            <c:numRef>
              <c:f>可视化!$G$19:$G$21</c:f>
              <c:numCache>
                <c:formatCode>0.000%</c:formatCode>
                <c:ptCount val="3"/>
                <c:pt idx="1">
                  <c:v>7.4733668763997448E-3</c:v>
                </c:pt>
                <c:pt idx="2">
                  <c:v>1.3644529502699064E-2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4E-4A6F-A1FE-B95E767A8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5831743"/>
        <c:axId val="119584086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可视化!$F$18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可视化!$D$19:$D$21</c15:sqref>
                        </c15:formulaRef>
                      </c:ext>
                    </c:extLst>
                    <c:strCache>
                      <c:ptCount val="3"/>
                      <c:pt idx="1">
                        <c:v>低风险用户</c:v>
                      </c:pt>
                      <c:pt idx="2">
                        <c:v>高风险用户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可视化!$F$19:$F$21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C4E-4A6F-A1FE-B95E767A89D8}"/>
                  </c:ext>
                </c:extLst>
              </c15:ser>
            </c15:filteredBarSeries>
          </c:ext>
        </c:extLst>
      </c:barChart>
      <c:catAx>
        <c:axId val="119583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5840863"/>
        <c:crosses val="autoZero"/>
        <c:auto val="1"/>
        <c:lblAlgn val="ctr"/>
        <c:lblOffset val="100"/>
        <c:noMultiLvlLbl val="0"/>
      </c:catAx>
      <c:valAx>
        <c:axId val="119584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583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6350</xdr:rowOff>
    </xdr:from>
    <xdr:to>
      <xdr:col>9</xdr:col>
      <xdr:colOff>552450</xdr:colOff>
      <xdr:row>35</xdr:row>
      <xdr:rowOff>120650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5416B678-AB05-A97A-09FC-17C1F77EC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3.66680752315" createdVersion="8" refreshedVersion="8" minRefreshableVersion="3" recordCount="788" xr:uid="{BE4280DB-6DA4-436A-89A5-68235C1EC8FA}">
  <cacheSource type="worksheet">
    <worksheetSource ref="A1:J1048576" sheet="数据分析"/>
  </cacheSource>
  <cacheFields count="10">
    <cacheField name="日期" numFmtId="0">
      <sharedItems containsNonDate="0" containsDate="1" containsString="0" containsBlank="1" minDate="2023-01-03T00:00:00" maxDate="2026-03-13T00:00:00"/>
    </cacheField>
    <cacheField name="收盘" numFmtId="0">
      <sharedItems containsString="0" containsBlank="1" containsNumber="1" minValue="3159.25" maxValue="4790.6899999999996"/>
    </cacheField>
    <cacheField name="开盘" numFmtId="0">
      <sharedItems containsString="0" containsBlank="1" containsNumber="1" minValue="3158.82" maxValue="4798.05"/>
    </cacheField>
    <cacheField name="高" numFmtId="0">
      <sharedItems containsString="0" containsBlank="1" containsNumber="1" minValue="3179.9" maxValue="4836.96"/>
    </cacheField>
    <cacheField name="低" numFmtId="0">
      <sharedItems containsString="0" containsBlank="1" containsNumber="1" minValue="3108.35" maxValue="4751.07"/>
    </cacheField>
    <cacheField name="交易量" numFmtId="0">
      <sharedItems containsBlank="1"/>
    </cacheField>
    <cacheField name="每日收益率" numFmtId="10">
      <sharedItems containsBlank="1" containsMixedTypes="1" containsNumber="1" minValue="-7.8193561232997769E-2" maxValue="7.5864893149105994E-2" count="771">
        <s v=""/>
        <n v="4.8979295407310568E-3"/>
        <n v="-6.3216069720479929E-3"/>
        <n v="-1.2685143194516977E-2"/>
        <n v="9.7455074900442348E-3"/>
        <n v="-2.7357931869093906E-3"/>
        <n v="-9.6972904819382783E-3"/>
        <n v="1.1576015399924335E-2"/>
        <n v="1.5629631220601913E-2"/>
        <n v="-3.8107966933620735E-3"/>
        <n v="3.4432615456466212E-3"/>
        <n v="1.9082394904028324E-3"/>
        <n v="-5.9862032268486734E-3"/>
        <n v="-1.001159841445853E-2"/>
        <n v="1.2696307835576714E-2"/>
        <n v="-1.2204475822001574E-3"/>
        <n v="2.223249933175317E-3"/>
        <n v="-1.1091590288507887E-3"/>
        <n v="-1.5990472678880971E-2"/>
        <n v="5.7756912740114796E-3"/>
        <n v="6.050847675369714E-3"/>
        <n v="-8.2086883975926467E-3"/>
        <n v="-1.1615605640210233E-2"/>
        <n v="2.1789065519173031E-2"/>
        <n v="1.0099142858356971E-2"/>
        <n v="-7.5475349557308277E-3"/>
        <n v="-2.6070424057702923E-3"/>
        <n v="2.6988603159163409E-4"/>
        <n v="-9.4753301493958654E-4"/>
        <n v="4.5103668261563075E-3"/>
        <n v="-1.3548672547644276E-4"/>
        <n v="-8.8713485084904523E-4"/>
        <n v="3.3016308954667054E-3"/>
        <n v="-5.4705288459510595E-4"/>
        <n v="4.1336723113695852E-3"/>
        <n v="-1.9993980759476621E-3"/>
        <n v="4.0278958145732761E-3"/>
        <n v="6.0680146942994123E-3"/>
        <n v="-6.4719243745198244E-3"/>
        <n v="-4.4695014835299685E-3"/>
        <n v="8.2361508342744701E-3"/>
        <n v="2.9350991381023868E-3"/>
        <n v="-1.5225364195971688E-2"/>
        <n v="-1.8612686132160543E-2"/>
        <n v="4.609131003857533E-3"/>
        <n v="-2.5605854732460433E-3"/>
        <n v="3.8518160870980095E-3"/>
        <n v="-3.1563758792760989E-3"/>
        <n v="-1.8265863083569691E-3"/>
        <n v="-2.8765272784557895E-3"/>
        <n v="-1.9715499498996203E-3"/>
        <n v="-9.419683321695977E-3"/>
        <n v="-3.368956564758903E-3"/>
        <n v="5.9501975711596941E-3"/>
        <n v="-1.797645353153356E-2"/>
        <n v="1.2119931962957659E-2"/>
        <n v="6.3465771540795633E-3"/>
        <n v="-6.2803566945719832E-3"/>
        <n v="8.7101125175189989E-3"/>
        <n v="1.3916020410163982E-3"/>
        <n v="5.1171975242593317E-3"/>
        <n v="-8.0510629090712466E-3"/>
        <n v="-8.2821831634144871E-3"/>
        <n v="-3.4135623118085783E-3"/>
        <n v="5.1378819478928158E-3"/>
        <n v="4.8656992356723942E-3"/>
        <n v="-1.0888257157778107E-2"/>
        <n v="-2.4874852540284049E-3"/>
        <n v="4.9386543827799822E-4"/>
        <n v="-6.027496718412192E-3"/>
        <n v="-9.4312310707285445E-3"/>
        <n v="1.2499859488988411E-3"/>
        <n v="2.4999943865762864E-2"/>
        <n v="5.1128708967239827E-3"/>
        <n v="-4.3807169991435507E-3"/>
        <n v="6.5365057057610526E-3"/>
        <n v="6.5440784680462685E-3"/>
        <n v="1.597401980061091E-2"/>
        <n v="-1.194367587041449E-2"/>
        <n v="1.3474217107090362E-3"/>
        <n v="9.2172040144706899E-3"/>
        <n v="-3.4632219039201326E-3"/>
        <n v="3.1226022112554042E-3"/>
        <n v="-1.409212937316219E-2"/>
        <n v="-1.849906856325428E-3"/>
        <n v="7.5129365405849739E-3"/>
        <n v="-2.7356341599689615E-3"/>
        <n v="1.4920259359101117E-2"/>
        <n v="8.0532324396857466E-3"/>
        <n v="-1.1767456359102221E-2"/>
        <n v="5.1257787240754265E-3"/>
        <n v="-1.1734471015814213E-2"/>
        <n v="-1.1659242857265493E-2"/>
        <n v="-2.9893581455125839E-3"/>
        <n v="3.3314680015764991E-3"/>
        <n v="-1.5115443795072264E-2"/>
        <n v="-5.2862135374663836E-3"/>
        <n v="2.3080348143537328E-2"/>
        <n v="-2.626439345057424E-3"/>
        <n v="-1.4595259959750594E-2"/>
        <n v="1.209942146611835E-2"/>
        <n v="4.9739006264721145E-3"/>
        <n v="2.0067882074930123E-2"/>
        <n v="-1.4606708171602803E-2"/>
        <n v="-4.4476144711237814E-3"/>
        <n v="-1.5151351175853074E-2"/>
        <n v="9.5471478335402028E-3"/>
        <n v="-5.9693174470827354E-3"/>
        <n v="-1.0137820926967822E-2"/>
        <n v="6.2613667036889571E-4"/>
        <n v="-4.5747919895811496E-3"/>
        <n v="-8.463055762875396E-4"/>
        <n v="1.1762718119388092E-2"/>
        <n v="-6.0821530118523514E-3"/>
        <n v="2.1488546074361543E-3"/>
        <n v="-2.4398529911363181E-3"/>
        <n v="5.7563025210083472E-3"/>
        <n v="-2.2574609226412332E-2"/>
        <n v="-2.0470783018696924E-3"/>
        <n v="7.0577468408072313E-3"/>
        <n v="-1.6228061339833512E-3"/>
        <n v="-2.1323582164508303E-2"/>
        <n v="2.1675933116619795E-2"/>
        <n v="6.8657325503438229E-3"/>
        <n v="7.4068300504404275E-3"/>
        <n v="-5.9574994860412843E-3"/>
        <n v="-7.3341694909224578E-3"/>
        <n v="-1.7395570570234116E-2"/>
        <n v="1.5152309667064139E-2"/>
        <n v="3.7349048531304498E-3"/>
        <n v="-2.0410720438913333E-2"/>
        <n v="-2.0541343079031587E-2"/>
        <n v="-3.8875298211083482E-3"/>
        <n v="-1.1244556819778E-2"/>
        <n v="3.7979149352294411E-3"/>
        <n v="-8.7417824650127002E-3"/>
        <n v="-6.9104191702261735E-3"/>
        <n v="7.8355070675303938E-4"/>
        <n v="-7.841343874653425E-3"/>
        <n v="-5.1449987089237995E-3"/>
        <n v="-4.2546894974178264E-3"/>
        <n v="2.362989254489026E-3"/>
        <n v="-2.8677876962193591E-4"/>
        <n v="-2.4407498255738956E-3"/>
        <n v="-7.9810890835760161E-3"/>
        <n v="-3.8740265801950483E-3"/>
        <n v="5.0950324666517817E-3"/>
        <n v="1.8561729712753154E-2"/>
        <n v="1.8789566490991965E-4"/>
        <n v="-3.9017153096566792E-3"/>
        <n v="-2.0939015721186741E-3"/>
        <n v="5.3014663836633688E-3"/>
        <n v="-7.0546439658329459E-3"/>
        <n v="-1.9661291771152275E-4"/>
        <n v="-8.0967040223745585E-3"/>
        <n v="-6.6232459779567666E-3"/>
        <n v="-5.928225597812125E-3"/>
        <n v="-6.7641758933594991E-3"/>
        <n v="2.9596725893392215E-3"/>
        <n v="-3.4585201514778896E-4"/>
        <n v="-7.1185537886390049E-4"/>
        <n v="-1.1930826116304293E-3"/>
        <n v="-4.6433683622525302E-3"/>
        <n v="1.766297539710309E-3"/>
        <n v="-8.3232252497842281E-3"/>
        <n v="4.2948978227918969E-3"/>
        <n v="-3.5482898900104603E-3"/>
        <n v="-6.1465649547513849E-3"/>
        <n v="-2.3328464784151302E-4"/>
        <n v="-1.6942446408100646E-3"/>
        <n v="-3.6381374362308969E-3"/>
        <n v="6.1859981232915227E-3"/>
        <n v="3.5605496170825748E-3"/>
        <n v="-1.4151265002891354E-2"/>
        <n v="-1.1815995266429844E-2"/>
        <n v="-2.918686331942305E-3"/>
        <n v="-9.2288334754479946E-4"/>
        <n v="8.2954081221099825E-3"/>
        <n v="-1.1845252995506266E-3"/>
        <n v="8.8363416512075626E-4"/>
        <n v="-2.4833496824824062E-3"/>
        <n v="7.2512150055121611E-3"/>
        <n v="6.2432557422544867E-4"/>
        <n v="-7.4872324200245741E-3"/>
        <n v="5.1171008958807596E-3"/>
        <n v="-2.9007142397529072E-3"/>
        <n v="9.2411421845232217E-4"/>
        <n v="-2.2746263113917423E-3"/>
        <n v="-4.3244053619523578E-3"/>
        <n v="-3.0581436704474286E-3"/>
        <n v="4.8096077578686173E-3"/>
        <n v="-5.8206131598725055E-3"/>
        <n v="8.2372322899513834E-4"/>
        <n v="5.3940719904151781E-3"/>
        <n v="5.7407690454416727E-3"/>
        <n v="8.1369920175567764E-3"/>
        <n v="6.4386564670171689E-4"/>
        <n v="-4.6497020207436554E-3"/>
        <n v="-5.392273810531604E-3"/>
        <n v="3.079581651470811E-3"/>
        <n v="4.6566163292697449E-3"/>
        <n v="9.2163185913186479E-3"/>
        <n v="-1.190654314631983E-2"/>
        <n v="-1.4501085656501596E-3"/>
        <n v="-1.1424943646369147E-2"/>
        <n v="1.7523971961645477E-3"/>
        <n v="-5.520517013158914E-3"/>
        <n v="-6.0261559701746108E-3"/>
        <n v="-9.9696996749410009E-3"/>
        <n v="1.1961056285919008E-3"/>
        <n v="1.7324136177246478E-3"/>
        <n v="1.420026337918641E-3"/>
        <n v="-6.944829534801134E-4"/>
        <n v="6.6589859315709435E-4"/>
        <n v="-7.7372401554849667E-4"/>
        <n v="2.4577491774476173E-4"/>
        <n v="-3.2656253302614951E-3"/>
        <n v="-7.9522441232964149E-5"/>
        <n v="1.5905753110909859E-4"/>
        <n v="-3.0719726888640713E-3"/>
        <n v="-5.556692890358062E-4"/>
        <n v="-2.2930776720206992E-3"/>
        <n v="-4.1087635847828711E-3"/>
        <n v="-1.2936700659418373E-2"/>
        <n v="-9.7727291220817414E-3"/>
        <n v="-1.6796502646024433E-2"/>
        <n v="7.579455291076044E-2"/>
        <n v="5.9277482843454283E-3"/>
        <n v="8.469798346715865E-4"/>
        <n v="-9.5172442176282734E-5"/>
        <n v="7.1669097653647706E-3"/>
        <n v="4.4033847827807688E-3"/>
        <n v="-3.3185756317372114E-3"/>
        <n v="3.3015594382756505E-3"/>
        <n v="6.4847544693938082E-4"/>
        <n v="-5.1209067690001124E-3"/>
        <n v="1.5400924719646452E-2"/>
        <n v="8.8503367304069418E-3"/>
        <n v="-6.1094666809643301E-4"/>
        <n v="-2.7272364336829512E-3"/>
        <n v="2.4444616804985956E-3"/>
        <n v="-2.3706121959985629E-2"/>
        <n v="4.0009407963022851E-3"/>
        <n v="3.6132337550894788E-3"/>
        <n v="-3.2018917040051277E-3"/>
        <n v="3.871411117898604E-3"/>
        <n v="3.1009049165695731E-3"/>
        <n v="-1.3565911067073692E-2"/>
        <n v="-4.4457882882306694E-3"/>
        <n v="8.3650346698513854E-4"/>
        <n v="4.0632948177570666E-4"/>
        <n v="2.0069150782123547E-2"/>
        <n v="-2.0614295938630478E-3"/>
        <n v="-8.6592221094258914E-3"/>
        <n v="1.1226166367353102E-2"/>
        <n v="2.1966284775753087E-3"/>
        <n v="-1.2452116910145677E-2"/>
        <n v="2.865942121204348E-3"/>
        <n v="-6.9489563875577785E-3"/>
        <n v="8.8479290938922942E-3"/>
        <n v="-2.1254496630693297E-3"/>
        <n v="-8.5986072642619191E-3"/>
        <n v="3.7693911101779336E-3"/>
        <n v="-9.367681498829104E-3"/>
        <n v="4.6148220254742488E-3"/>
        <n v="-2.1430072851994402E-3"/>
        <n v="-1.2811159349551697E-2"/>
        <n v="-1.2425738323058788E-2"/>
        <n v="5.7969792468142963E-3"/>
        <n v="4.1340501116036866E-3"/>
        <n v="-7.5974598602610958E-3"/>
        <n v="-1.7666822653493142E-3"/>
        <n v="9.3731399887280412E-3"/>
        <n v="-7.6449208241910623E-4"/>
        <n v="-4.5277934448830432E-3"/>
        <n v="-3.1371808390647307E-3"/>
        <n v="-1.1446223798672525E-3"/>
        <n v="6.4567456000083675E-3"/>
        <n v="-2.5658676522166957E-2"/>
        <n v="2.6783003940888807E-3"/>
        <n v="1.2699331275720189E-2"/>
        <n v="2.470977914642711E-3"/>
        <n v="1.8183161706103968E-3"/>
        <n v="-7.1494240156371458E-3"/>
        <n v="1.6423585223549284E-3"/>
        <n v="1.1983598046175589E-2"/>
        <n v="2.9973301225002556E-2"/>
        <n v="1.6300245748949869E-2"/>
        <n v="-4.5060701916705172E-3"/>
        <n v="1.6201837212982111E-3"/>
        <n v="-4.6395217029299434E-4"/>
        <n v="-4.8674864450539925E-4"/>
        <n v="-1.2581300251776591E-2"/>
        <n v="-1.4821142117721006E-3"/>
        <n v="4.5115002520534084E-3"/>
        <n v="-9.0483745875009848E-4"/>
        <n v="-5.0381923392077586E-3"/>
        <n v="-2.5981443283197869E-3"/>
        <n v="5.4552333428769303E-3"/>
        <n v="2.4234843053203812E-2"/>
        <n v="-9.8473377187538961E-3"/>
        <n v="1.707267544618333E-3"/>
        <n v="-7.2754302189385707E-3"/>
        <n v="1.6563428856668882E-3"/>
        <n v="-1.2974624604217251E-2"/>
        <n v="2.2873375340103884E-3"/>
        <n v="5.4267076447121858E-3"/>
        <n v="-1.0779652267648551E-3"/>
        <n v="-7.8654787809394958E-3"/>
        <n v="-1.1241950885721661E-2"/>
        <n v="8.9062762262591272E-3"/>
        <n v="-1.7112699127728441E-2"/>
        <n v="2.0597992802421526E-3"/>
        <n v="4.5762962924462969E-3"/>
        <n v="3.1973510619034168E-2"/>
        <n v="-8.8486701927661493E-4"/>
        <n v="-2.2279258461978761E-3"/>
        <n v="-6.6660128894688473E-3"/>
        <n v="4.6704367681083383E-3"/>
        <n v="1.783649085498748E-2"/>
        <n v="1.7642748575361158E-2"/>
        <n v="-6.1178966111962475E-3"/>
        <n v="1.1109370640324722E-2"/>
        <n v="-6.5551071982726094E-3"/>
        <n v="1.0148511835869357E-2"/>
        <n v="-2.9288178112260806E-2"/>
        <n v="5.0418956931426147E-3"/>
        <n v="-2.4677530615120999E-2"/>
        <n v="-1.3876636347965461E-2"/>
        <n v="2.6220944879460305E-4"/>
        <n v="-4.086311114766606E-4"/>
        <n v="9.0501227680006881E-3"/>
        <n v="1.0067139744945349E-2"/>
        <n v="-1.9524943493703035E-3"/>
        <n v="-6.9734760212515718E-3"/>
        <n v="1.1295983791612289E-2"/>
        <n v="-3.8835098069318853E-3"/>
        <n v="-5.7052185821345252E-3"/>
        <n v="-2.5335434031306669E-3"/>
        <n v="-3.4904960983178114E-2"/>
        <n v="1.1448648705724681E-2"/>
        <n v="6.3681134985736042E-3"/>
        <n v="2.732112894483657E-2"/>
        <n v="-1.8723462262769688E-2"/>
        <n v="2.8457721169899926E-2"/>
        <n v="-1.0458278198704771E-2"/>
        <n v="7.5864893149105994E-2"/>
        <n v="-5.5978477949296404E-2"/>
        <n v="-7.8193561232997769E-2"/>
        <n v="-4.2757473647831258E-2"/>
        <n v="-4.055769295860457E-2"/>
        <n v="-1.458755324809728E-2"/>
        <n v="-4.1513644459427505E-2"/>
        <n v="-3.6448411957320298E-3"/>
        <n v="-1.5651114478062566E-3"/>
        <n v="-7.8315665636224038E-3"/>
        <n v="-3.7085975761666527E-3"/>
        <n v="4.1845374693360131E-3"/>
        <n v="4.305793277793111E-3"/>
        <n v="3.022475542429251E-3"/>
        <n v="-8.7929005932873552E-4"/>
        <n v="1.2026495873721822E-2"/>
        <n v="8.1730546056602692E-3"/>
        <n v="-1.7189725455528839E-3"/>
        <n v="6.5402686214700327E-3"/>
        <n v="-2.5722254638100152E-3"/>
        <n v="1.7280192097420717E-2"/>
        <n v="-1.3172037345360283E-2"/>
        <n v="2.6909277293696043E-3"/>
        <n v="5.7294994675186148E-3"/>
        <n v="5.715011814251489E-3"/>
        <n v="8.9344267226605179E-4"/>
        <n v="-4.2227825883103106E-3"/>
        <n v="2.5655420537616883E-3"/>
        <n v="3.3296805192615533E-3"/>
        <n v="7.2823836528940452E-3"/>
        <n v="-3.3780462738718818E-3"/>
        <n v="-1.0999423128081381E-3"/>
        <n v="-9.7876987986056166E-3"/>
        <n v="7.5999323107420712E-3"/>
        <n v="-2.5581890540697836E-3"/>
        <n v="1.734889622533715E-3"/>
        <n v="3.3947347094365056E-3"/>
        <n v="-4.3374993269405755E-4"/>
        <n v="4.4590886101716199E-4"/>
        <n v="1.0170566380898047E-4"/>
        <n v="1.2284196547144667E-2"/>
        <n v="1.0306140840742382E-2"/>
        <n v="6.6710145732860951E-3"/>
        <n v="-2.1120950123181281E-2"/>
        <n v="6.3394452391833727E-3"/>
        <n v="5.4707821891387077E-3"/>
        <n v="-2.9390283607437272E-3"/>
        <n v="5.56001729783162E-3"/>
        <n v="6.3513517466948794E-3"/>
        <n v="2.1814714466783715E-2"/>
        <n v="6.8564860651166761E-3"/>
        <n v="-5.1115845629581486E-3"/>
        <n v="-5.4957071001127287E-3"/>
        <n v="-9.4243170226004469E-4"/>
        <n v="-6.297380426952731E-3"/>
        <n v="-1.1075152822725377E-3"/>
        <n v="-1.2181776293053847E-3"/>
        <n v="-1.1302790808985797E-2"/>
        <n v="3.1612991656387039E-3"/>
        <n v="-1.1061657475267449E-2"/>
        <n v="8.613188467146338E-3"/>
        <n v="4.2989630026872162E-3"/>
        <n v="5.1076524822900593E-3"/>
        <n v="2.4195807022559007E-3"/>
        <n v="1.8405491115533695E-3"/>
        <n v="-4.7496104284424565E-3"/>
        <n v="-2.1781457451049394E-3"/>
        <n v="7.5677741363937351E-3"/>
        <n v="-6.4248073419802335E-3"/>
        <n v="5.4686370340379575E-3"/>
        <n v="5.4101317011858415E-3"/>
        <n v="2.1913137011460942E-3"/>
        <n v="7.2703295197642775E-3"/>
        <n v="4.7722281261070197E-3"/>
        <n v="-2.6483603575146383E-3"/>
        <n v="1.5072676884792665E-3"/>
        <n v="-4.3484030913193139E-3"/>
        <n v="5.101910593199848E-3"/>
        <n v="-3.4987528638978979E-4"/>
        <n v="8.8148624847581673E-3"/>
        <n v="5.0753893976402155E-3"/>
        <n v="7.0707773679447804E-4"/>
        <n v="5.8084060543175291E-3"/>
        <n v="-7.445369737835608E-3"/>
        <n v="-2.460466736328785E-3"/>
        <n v="4.0196428970479432E-3"/>
        <n v="5.3445584827129652E-3"/>
        <n v="-1.2038123491775082E-3"/>
        <n v="7.3534912459097138E-3"/>
        <n v="-9.4149423358848797E-3"/>
        <n v="1.1192620811444169E-2"/>
        <n v="1.1714019754022021E-2"/>
        <n v="-2.2499966073633686E-3"/>
        <n v="4.0259401114206622E-3"/>
        <n v="-3.5194095844984061E-3"/>
        <n v="-1.0225749530311469E-2"/>
        <n v="-3.9281829269633174E-3"/>
        <n v="8.5464664125801115E-3"/>
        <n v="2.089115543949323E-3"/>
        <n v="4.3387025914883536E-4"/>
        <n v="-4.691403820767248E-4"/>
        <n v="-9.3708385181304563E-3"/>
        <n v="7.9306488312004281E-3"/>
        <n v="-3.0882670449113535E-4"/>
        <n v="-1.4623224381335702E-2"/>
        <n v="5.4156181767233795E-3"/>
        <n v="-1.093846149600842E-2"/>
        <n v="-1.5063039335764266E-2"/>
        <n v="-2.4530632131163277E-3"/>
        <n v="-4.3729874319205627E-3"/>
        <n v="7.0389194060841284E-3"/>
        <n v="3.0473816873884175E-3"/>
        <n v="7.9454267208033322E-3"/>
        <n v="-1.2325620482940476E-3"/>
        <n v="-1.5226903012284725E-2"/>
        <n v="1.0814243928558148E-2"/>
        <n v="-2.0636333923157491E-2"/>
        <n v="8.1706867980113115E-3"/>
        <n v="1.3412323356854972E-4"/>
        <n v="8.2118063976761978E-3"/>
        <n v="8.2637845303087682E-4"/>
        <n v="8.8762332421863776E-3"/>
        <n v="3.61006782891408E-3"/>
        <n v="4.1807701330474258E-3"/>
        <n v="-1.6177881606941742E-2"/>
        <n v="-4.6699910670873002E-3"/>
        <n v="-5.1605244024357198E-3"/>
        <n v="1.1693535724379719E-2"/>
        <n v="-5.0765432098764818E-3"/>
        <n v="5.4569794881103029E-3"/>
        <n v="1.0180535966149547E-2"/>
        <n v="1.1979592805542345E-3"/>
        <n v="-2.1615560972616569E-3"/>
        <n v="7.2394294546948932E-3"/>
        <n v="-9.3075401065067908E-3"/>
        <n v="-2.1764766848086361E-3"/>
        <n v="2.8465395174919932E-3"/>
        <n v="7.0345653853474046E-3"/>
        <n v="-2.2877061506771565E-3"/>
        <n v="-1.2356307428272224E-2"/>
        <n v="-4.2850171090380446E-3"/>
        <n v="6.0429722470905292E-3"/>
        <n v="4.0720350318919855E-3"/>
        <n v="-6.9106523330464157E-3"/>
        <n v="-8.6701855758604775E-4"/>
        <n v="-6.1394086720561519E-3"/>
        <n v="-1.8719710586789753E-2"/>
        <n v="1.2906273730095629E-2"/>
        <n v="-1.185478955817083E-2"/>
        <n v="1.0534667685963714E-2"/>
        <n v="-8.7972169846455874E-4"/>
        <n v="-8.5468369533108039E-3"/>
        <n v="-1.3312620954794361E-2"/>
        <n v="-2.0640016418194771E-3"/>
        <n v="-1.1422494205023228E-2"/>
        <n v="-6.3299979494372029E-3"/>
        <n v="-9.5524923511273833E-3"/>
        <n v="-3.3599159341605032E-2"/>
        <n v="-6.4960223970603739E-3"/>
        <n v="1.1976236228743572E-2"/>
        <n v="-7.3344086322264194E-4"/>
        <n v="9.2338314646928186E-3"/>
        <n v="1.8156941054655745E-2"/>
        <n v="9.0376396808678448E-3"/>
        <n v="2.7296014781841575E-3"/>
        <n v="-1.9686381965467299E-2"/>
        <n v="-1.3786537528493181E-2"/>
        <n v="-4.0316467250218124E-3"/>
        <n v="1.5806642020566065E-2"/>
        <n v="1.5138633180213402E-3"/>
        <n v="-1.3940080556259627E-2"/>
        <n v="2.2235435480074877E-2"/>
        <n v="-6.0468723491917415E-3"/>
        <n v="9.9057581410092279E-4"/>
        <n v="3.5016457735135512E-3"/>
        <n v="-5.6255632390378781E-3"/>
        <n v="4.6900794292566638E-3"/>
        <n v="-1.9559605163249976E-3"/>
        <n v="1.3100795481518957E-2"/>
        <n v="5.388827644625757E-3"/>
        <n v="9.3365799734094201E-3"/>
        <n v="2.3828552822424669E-3"/>
        <n v="1.3217771346730319E-2"/>
        <n v="-4.829340942144135E-3"/>
        <n v="-2.2896202709588944E-2"/>
        <n v="-3.4678511911185135E-3"/>
        <n v="6.8154680445982616E-3"/>
        <n v="-3.0530702475017701E-3"/>
        <n v="-1.9057721523539363E-3"/>
        <n v="-1.001840360026056E-2"/>
        <n v="1.1081122062168299E-2"/>
        <n v="-1.4007030509532198E-3"/>
        <n v="3.6583497778859939E-3"/>
        <n v="3.1153207343896858E-3"/>
        <n v="5.2625926323702768E-3"/>
        <n v="1.6975308641975391E-2"/>
        <n v="-2.1448581767247472E-3"/>
        <n v="-5.845969381040747E-3"/>
        <n v="-2.4062645243655865E-3"/>
        <n v="2.4533509471349191E-3"/>
        <n v="-1.5707730321213352E-3"/>
        <n v="1.9409237948772237E-2"/>
        <n v="6.5719884166537297E-3"/>
        <n v="3.8244211686878989E-3"/>
        <n v="-2.2567358846747533E-3"/>
        <n v="8.6603541543039571E-3"/>
        <n v="-1.8701044757454632E-3"/>
        <n v="7.4232475497873433E-3"/>
        <n v="6.6449783918077565E-3"/>
        <n v="-4.80132078438417E-3"/>
        <n v="1.0340196703550958E-2"/>
        <n v="-1.3264191987311055E-3"/>
        <n v="-2.3068405511811022E-3"/>
        <n v="1.2023306717637164E-3"/>
        <n v="9.7666528569348762E-3"/>
        <n v="-6.9831589160718154E-3"/>
        <n v="-7.3979776999829455E-4"/>
        <n v="1.9779796111649484E-3"/>
        <n v="7.3442279220073516E-3"/>
        <n v="-4.8715273068474397E-4"/>
        <n v="2.4064889354125105E-3"/>
        <n v="3.5499591133113543E-3"/>
        <n v="-1.334302333583849E-2"/>
        <n v="-8.3562584050845719E-3"/>
        <n v="4.7380697148999198E-3"/>
        <n v="4.1444625220175081E-4"/>
        <n v="3.1518456211458508E-3"/>
        <n v="-5.9657846346166492E-3"/>
        <n v="-1.354427785840405E-2"/>
        <n v="-2.7545857592468814E-3"/>
        <n v="-4.9451270666521878E-3"/>
        <n v="-3.6964495157910163E-3"/>
        <n v="1.0462719904209371E-2"/>
        <n v="6.5373626655348014E-3"/>
        <n v="2.1802498344436448E-2"/>
        <n v="7.9820970591982909E-3"/>
        <n v="-3.517063252184476E-3"/>
        <n v="1.0150002757403614E-2"/>
        <n v="1.0637629967707752E-2"/>
        <n v="-9.4074622269999103E-3"/>
        <n v="-2.8411337268749088E-3"/>
        <n v="7.5469015320756734E-3"/>
        <n v="1.2999595628444861E-3"/>
        <n v="2.9759968776426251E-3"/>
        <n v="-2.056478854208925E-3"/>
        <n v="5.8788645207412185E-3"/>
        <n v="6.5498303989662216E-3"/>
        <n v="-1.7783162562551261E-2"/>
        <n v="9.0539260001524877E-3"/>
        <n v="3.9965566466703762E-3"/>
        <n v="1.9379115710254095E-3"/>
        <n v="-5.078184730035286E-3"/>
        <n v="6.6679608928003325E-3"/>
        <n v="8.4103162975320076E-4"/>
        <n v="6.4094844312418391E-3"/>
        <n v="1.8454501941179745E-3"/>
        <n v="-7.312463835818646E-3"/>
        <n v="4.9411896823253589E-3"/>
        <n v="1.4250479583447627E-2"/>
        <n v="2.1746943229722648E-3"/>
        <n v="7.4941366168278191E-3"/>
        <n v="-1.4928746801075627E-2"/>
        <n v="-6.9154870512647534E-3"/>
        <n v="6.1722001343861759E-3"/>
        <n v="4.2232962299160062E-4"/>
        <n v="-9.8915334911124572E-3"/>
        <n v="-1.1583906710511536E-2"/>
        <n v="3.8499386651927653E-3"/>
        <n v="-7.1976645190052532E-3"/>
        <n v="1.6663826241739073E-2"/>
        <n v="-7.6312519457297284E-3"/>
        <n v="1.4599616575726244E-2"/>
        <n v="1.2447145877378411E-2"/>
        <n v="-3.3332463261204308E-3"/>
        <n v="7.388046606762652E-3"/>
        <n v="2.4359554300747923E-3"/>
        <n v="7.349756607389733E-3"/>
        <n v="2.3548947673295951E-2"/>
        <n v="-2.0499431549504585E-3"/>
        <n v="3.0648482572455823E-3"/>
        <n v="2.6182680734622883E-3"/>
        <n v="7.6262797137951798E-3"/>
        <n v="-3.8800372085619262E-3"/>
        <n v="-8.7590949268160963E-3"/>
        <n v="7.0782639361192745E-3"/>
        <n v="4.159579789894975E-3"/>
        <n v="-5.4525572717785513E-3"/>
        <n v="-2.2638589039105948E-2"/>
        <n v="1.1941522415980907E-3"/>
        <n v="2.0757561408851453E-3"/>
        <n v="-2.8070659392304728E-2"/>
        <n v="4.3860801740766781E-3"/>
        <n v="4.6573571852822281E-4"/>
        <n v="7.1083168353082591E-3"/>
        <n v="1.0569040242854638E-3"/>
        <n v="3.1725526207930649E-3"/>
        <n v="8.2566838282257665E-3"/>
        <n v="-1.7439922033285536E-4"/>
        <n v="-1.4103149481071824E-2"/>
        <n v="6.777782403263672E-3"/>
        <n v="-6.5021488619946962E-3"/>
        <n v="-4.8460980196809609E-3"/>
        <n v="4.4567007345061513E-3"/>
        <n v="6.7816017175199913E-3"/>
        <n v="7.8060178711284022E-3"/>
        <n v="-1.5721939671865701E-3"/>
        <n v="-1.2954419350198386E-2"/>
        <n v="-5.363765305989583E-3"/>
        <n v="4.9609612124003194E-3"/>
        <n v="1.2054780254112825E-3"/>
        <n v="-9.2915486694595973E-3"/>
        <n v="1.4260965430348948E-2"/>
        <n v="1.5582177157009542E-2"/>
        <n v="1.699692169694023E-3"/>
        <n v="8.252542032252088E-3"/>
        <n v="-9.5500018923385284E-3"/>
        <n v="-1.5661699146605531E-2"/>
        <n v="2.3033007075529439E-4"/>
        <n v="-5.2989590960720997E-3"/>
        <n v="-2.0107011962761756E-3"/>
        <n v="-4.3031772095810886E-3"/>
        <n v="-8.0755145686470849E-3"/>
        <n v="4.9665640982333881E-3"/>
        <n v="9.4770177723625445E-3"/>
        <n v="4.5730636665149062E-3"/>
        <n v="-1.4231594865646607E-2"/>
        <n v="-2.1881493195196914E-3"/>
        <n v="1.0322387022382293E-2"/>
        <n v="-9.9276920070352293E-4"/>
        <n v="4.4366891500648847E-3"/>
        <n v="-1.1685428270941407E-4"/>
        <n v="2.2308791066095691E-3"/>
        <n v="1.4018849003262402E-2"/>
        <n v="1.4346351697719731E-2"/>
        <n v="-6.245386500996381E-3"/>
        <n v="2.9230277801721369E-3"/>
        <n v="1.0363820660402644E-3"/>
        <n v="4.5553599971718296E-3"/>
        <n v="5.1983178364138237E-3"/>
        <n v="-1.5286742070924595E-2"/>
        <n v="1.3434033562228179E-2"/>
        <n v="1.5561335718903731E-3"/>
        <n v="7.7585710818716194E-3"/>
        <n v="8.6348153371003464E-3"/>
        <n v="-1.1268479272200909E-2"/>
        <n v="3.3284539244388409E-3"/>
        <n v="-2.8782333602130251E-4"/>
        <n v="-1.0094090725200993E-2"/>
        <n v="-7.3186876006037611E-3"/>
        <n v="8.6885581287271887E-4"/>
        <n v="5.0395314270428272E-3"/>
        <n v="1.2536910190225653E-2"/>
        <n v="1.9950056663616569E-2"/>
        <n v="2.8057242610052863E-3"/>
        <n v="9.0846053882109468E-3"/>
        <n v="-3.0393822245393803E-3"/>
        <n v="-1.3828571979428278E-2"/>
        <n v="-5.6256109481915891E-3"/>
        <n v="6.9575176088356163E-3"/>
        <n v="6.9802235135898918E-4"/>
        <n v="1.1365437849836625E-3"/>
        <n v="4.4995992506350708E-3"/>
        <n v="-6.4608758076093349E-3"/>
        <n v="1.5769020465552345E-3"/>
        <n v="-3.0537885988643218E-3"/>
        <n v="-9.6905810192712324E-3"/>
        <n v="-3.0610254929114146E-3"/>
        <n v="-8.0202449901326297E-3"/>
        <n v="-1.6549596369571844E-3"/>
        <n v="3.2428972549136768E-3"/>
        <n v="3.631170747268563E-3"/>
        <n v="2.989781601917027E-3"/>
        <n v="-9.8165675931955187E-3"/>
        <n v="-4.2655971836056909E-3"/>
        <n v="-1.0872895102928446E-2"/>
        <n v="5.0113224407730321E-3"/>
        <n v="-4.9686522751729231E-3"/>
        <n v="1.2121904471776905E-2"/>
        <n v="-5.5180716847682979E-4"/>
        <n v="6.020528521595161E-3"/>
        <n v="-1.0364982076438982E-2"/>
        <n v="1.3286649828339821E-2"/>
        <n v="3.5473960471162401E-3"/>
        <n v="3.6538418635088735E-3"/>
        <n v="1.4858540079281848E-2"/>
        <n v="5.2421386173311726E-3"/>
        <n v="-3.1012819116099308E-3"/>
        <n v="2.2342352844035365E-3"/>
        <n v="-1.3927995076254942E-2"/>
        <n v="-6.2956755933219373E-3"/>
        <n v="4.2558558202105022E-3"/>
        <n v="1.0489897932800496E-2"/>
        <n v="8.041621483314079E-4"/>
        <n v="9.1065145667710949E-3"/>
        <n v="-2.6204350501286282E-3"/>
        <n v="-2.3945866567960626E-2"/>
        <n v="1.4618875650326697E-2"/>
        <n v="7.3775677966722332E-3"/>
        <n v="5.2380271067903666E-3"/>
        <n v="-4.1492875046142842E-4"/>
        <n v="-8.9922458170127E-3"/>
        <n v="5.9786036611944229E-3"/>
        <n v="-1.3246636293653091E-2"/>
        <n v="4.438022246537201E-3"/>
        <n v="-1.7952093556053053E-3"/>
        <n v="1.3396527424343264E-2"/>
        <n v="9.5421367915529704E-3"/>
        <n v="3.5349126436508274E-3"/>
        <n v="-9.3114041463991572E-3"/>
        <n v="1.0702790086748338E-2"/>
        <n v="-4.7175312697110734E-3"/>
        <n v="-6.1030292739737676E-3"/>
        <n v="-6.1838157271035966E-3"/>
        <n v="1.6778401621184321E-3"/>
        <n v="1.740290628535581E-4"/>
        <n v="-1.536505911125287E-2"/>
        <n v="-1.3869594883147918E-2"/>
        <n v="-1.9512826447843487E-3"/>
        <n v="1.8553477156030252E-3"/>
        <n v="-1.0827709976676638E-3"/>
        <n v="-8.0311578024081058E-3"/>
        <n v="-3.0922733358620673E-3"/>
        <n v="-1.9057194260919549E-2"/>
        <n v="-1.2972167636367607E-3"/>
        <m/>
      </sharedItems>
    </cacheField>
    <cacheField name="20日均线" numFmtId="0">
      <sharedItems containsBlank="1" containsMixedTypes="1" containsNumber="1" minValue="3240.4740000000006" maxValue="4737.566499999999"/>
    </cacheField>
    <cacheField name="波动率" numFmtId="10">
      <sharedItems containsBlank="1" containsMixedTypes="1" containsNumber="1" minValue="3.7278510515554256E-3" maxValue="3.4127884114556722E-2"/>
    </cacheField>
    <cacheField name="用户类型" numFmtId="0">
      <sharedItems containsBlank="1" count="5">
        <s v=""/>
        <s v="未知"/>
        <s v="低风险用户"/>
        <s v="高风险用户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8">
  <r>
    <d v="2023-01-03T00:00:00"/>
    <n v="4681.57"/>
    <n v="4700.72"/>
    <n v="4704.38"/>
    <n v="4654.3100000000004"/>
    <s v="26.84B"/>
    <x v="0"/>
    <s v=""/>
    <s v=""/>
    <x v="0"/>
  </r>
  <r>
    <d v="2023-01-04T00:00:00"/>
    <n v="4704.5"/>
    <n v="4681.03"/>
    <n v="4711.87"/>
    <n v="4674.71"/>
    <s v="270.18K"/>
    <x v="1"/>
    <n v="4686.0429999999997"/>
    <n v="8.7638762445859213E-3"/>
    <x v="1"/>
  </r>
  <r>
    <d v="2023-01-05T00:00:00"/>
    <n v="4674.76"/>
    <n v="4648.79"/>
    <n v="4677.6000000000004"/>
    <n v="4648.79"/>
    <s v="263.90K"/>
    <x v="2"/>
    <n v="4683.8234999999995"/>
    <n v="8.8847799770942135E-3"/>
    <x v="1"/>
  </r>
  <r>
    <d v="2023-01-06T00:00:00"/>
    <n v="4615.46"/>
    <n v="4600.25"/>
    <n v="4625.9799999999996"/>
    <n v="4548.97"/>
    <s v="322.79K"/>
    <x v="3"/>
    <n v="4680.3845000000001"/>
    <n v="9.1444098798581352E-3"/>
    <x v="1"/>
  </r>
  <r>
    <d v="2023-01-09T00:00:00"/>
    <n v="4660.4399999999996"/>
    <n v="4621.49"/>
    <n v="4671.71"/>
    <n v="4612.79"/>
    <s v="238.53K"/>
    <x v="4"/>
    <n v="4684.9285"/>
    <n v="9.9777453662074217E-3"/>
    <x v="1"/>
  </r>
  <r>
    <d v="2023-01-10T00:00:00"/>
    <n v="4647.6899999999996"/>
    <n v="4651.9399999999996"/>
    <n v="4671.53"/>
    <n v="4630.3"/>
    <s v="259.32K"/>
    <x v="5"/>
    <n v="4689.6000000000004"/>
    <n v="9.9943165953674147E-3"/>
    <x v="1"/>
  </r>
  <r>
    <d v="2023-01-11T00:00:00"/>
    <n v="4602.62"/>
    <n v="4609.1899999999996"/>
    <n v="4639.42"/>
    <n v="4575.82"/>
    <s v="303.04K"/>
    <x v="6"/>
    <n v="4693.1149999999998"/>
    <n v="1.0146752180774505E-2"/>
    <x v="1"/>
  </r>
  <r>
    <d v="2023-01-12T00:00:00"/>
    <n v="4655.8999999999996"/>
    <n v="4737.32"/>
    <n v="4744.6000000000004"/>
    <n v="4651.3999999999996"/>
    <s v="370.62K"/>
    <x v="7"/>
    <n v="4698.2685000000001"/>
    <n v="9.8810844398632327E-3"/>
    <x v="1"/>
  </r>
  <r>
    <d v="2023-01-13T00:00:00"/>
    <n v="4728.67"/>
    <n v="4681.01"/>
    <n v="4735.41"/>
    <n v="4667.28"/>
    <s v="349.26K"/>
    <x v="8"/>
    <n v="4700.8215"/>
    <n v="9.572045380334274E-3"/>
    <x v="1"/>
  </r>
  <r>
    <d v="2023-01-16T00:00:00"/>
    <n v="4710.6499999999996"/>
    <n v="4698.3"/>
    <n v="4721.01"/>
    <n v="4692.8900000000003"/>
    <s v="261.42K"/>
    <x v="9"/>
    <n v="4699.5130000000008"/>
    <n v="8.8948641021175962E-3"/>
    <x v="1"/>
  </r>
  <r>
    <d v="2023-01-17T00:00:00"/>
    <n v="4726.87"/>
    <n v="4741.3900000000003"/>
    <n v="4742.1499999999996"/>
    <n v="4706.6899999999996"/>
    <s v="234.85K"/>
    <x v="10"/>
    <n v="4700.1660000000002"/>
    <n v="8.9136392846932769E-3"/>
    <x v="1"/>
  </r>
  <r>
    <d v="2023-01-18T00:00:00"/>
    <n v="4735.8900000000003"/>
    <n v="4713.58"/>
    <n v="4766.5600000000004"/>
    <n v="4713.34"/>
    <s v="284.27K"/>
    <x v="11"/>
    <n v="4699.9760000000006"/>
    <n v="8.8804594161934914E-3"/>
    <x v="1"/>
  </r>
  <r>
    <d v="2023-01-19T00:00:00"/>
    <n v="4707.54"/>
    <n v="4727.3"/>
    <n v="4727.37"/>
    <n v="4698.3500000000004"/>
    <s v="218.49K"/>
    <x v="12"/>
    <n v="4699.1255000000001"/>
    <n v="8.8707907060933261E-3"/>
    <x v="1"/>
  </r>
  <r>
    <d v="2023-01-20T00:00:00"/>
    <n v="4660.41"/>
    <n v="4693.41"/>
    <n v="4703.63"/>
    <n v="4658.3999999999996"/>
    <s v="189.17K"/>
    <x v="13"/>
    <n v="4700.4715000000015"/>
    <n v="8.7915323676138867E-3"/>
    <x v="1"/>
  </r>
  <r>
    <d v="2023-01-30T00:00:00"/>
    <n v="4719.58"/>
    <n v="4720.01"/>
    <n v="4726.04"/>
    <n v="4707.74"/>
    <s v="197.84K"/>
    <x v="14"/>
    <n v="4704.0445000000018"/>
    <n v="8.4542956218233902E-3"/>
    <x v="1"/>
  </r>
  <r>
    <d v="2023-01-31T00:00:00"/>
    <n v="4713.82"/>
    <n v="4715.67"/>
    <n v="4723.7"/>
    <n v="4703.6899999999996"/>
    <s v="173.39K"/>
    <x v="15"/>
    <n v="4705.6370000000006"/>
    <n v="8.0258361403571302E-3"/>
    <x v="1"/>
  </r>
  <r>
    <d v="2023-02-01T00:00:00"/>
    <n v="4724.3"/>
    <n v="4718.26"/>
    <n v="4732.09"/>
    <n v="4713.87"/>
    <s v="187.00K"/>
    <x v="16"/>
    <n v="4707.0425000000005"/>
    <n v="8.0358282519936482E-3"/>
    <x v="1"/>
  </r>
  <r>
    <d v="2023-02-02T00:00:00"/>
    <n v="4719.0600000000004"/>
    <n v="4693.67"/>
    <n v="4719.96"/>
    <n v="4679.8999999999996"/>
    <s v="207.25K"/>
    <x v="17"/>
    <n v="4708.8790000000008"/>
    <n v="8.0682968863832836E-3"/>
    <x v="1"/>
  </r>
  <r>
    <d v="2023-02-03T00:00:00"/>
    <n v="4643.6000000000004"/>
    <n v="4622.97"/>
    <n v="4678.26"/>
    <n v="4606.6400000000003"/>
    <s v="202.72K"/>
    <x v="18"/>
    <n v="4712.4219999999996"/>
    <n v="8.1559262288679029E-3"/>
    <x v="1"/>
  </r>
  <r>
    <d v="2023-02-06T00:00:00"/>
    <n v="4670.42"/>
    <n v="4664.75"/>
    <n v="4687.0200000000004"/>
    <n v="4639.43"/>
    <s v="237.86K"/>
    <x v="19"/>
    <n v="4718.1879999999992"/>
    <n v="7.3653952453215637E-3"/>
    <x v="1"/>
  </r>
  <r>
    <d v="2023-02-07T00:00:00"/>
    <n v="4698.68"/>
    <n v="4647.97"/>
    <n v="4701.4799999999996"/>
    <n v="4641.84"/>
    <s v="264.88K"/>
    <x v="20"/>
    <n v="4721.5494999999992"/>
    <n v="7.3905158529210067E-3"/>
    <x v="2"/>
  </r>
  <r>
    <d v="2023-02-08T00:00:00"/>
    <n v="4660.1099999999997"/>
    <n v="4648.3599999999997"/>
    <n v="4662.13"/>
    <n v="4578.21"/>
    <s v="265.55K"/>
    <x v="21"/>
    <n v="4725.4489999999996"/>
    <n v="7.4886587490498686E-3"/>
    <x v="2"/>
  </r>
  <r>
    <d v="2023-02-09T00:00:00"/>
    <n v="4605.9799999999996"/>
    <n v="4674.28"/>
    <n v="4716.6099999999997"/>
    <n v="4601.76"/>
    <s v="304.77K"/>
    <x v="22"/>
    <n v="4731.9779999999992"/>
    <n v="7.187708772057203E-3"/>
    <x v="2"/>
  </r>
  <r>
    <d v="2023-02-10T00:00:00"/>
    <n v="4706.34"/>
    <n v="4723.08"/>
    <n v="4738.87"/>
    <n v="4645.47"/>
    <s v="319.79K"/>
    <x v="23"/>
    <n v="4737.566499999999"/>
    <n v="7.5672310590536853E-3"/>
    <x v="2"/>
  </r>
  <r>
    <d v="2023-02-13T00:00:00"/>
    <n v="4753.87"/>
    <n v="4733.09"/>
    <n v="4770.96"/>
    <n v="4696.05"/>
    <s v="415.51K"/>
    <x v="24"/>
    <n v="4733.7464999999993"/>
    <n v="7.1714631384320665E-3"/>
    <x v="2"/>
  </r>
  <r>
    <d v="2023-02-14T00:00:00"/>
    <n v="4717.99"/>
    <n v="4725.6000000000004"/>
    <n v="4739.63"/>
    <n v="4697.91"/>
    <s v="382.26K"/>
    <x v="25"/>
    <n v="4728.6170000000002"/>
    <n v="6.8295032883905595E-3"/>
    <x v="2"/>
  </r>
  <r>
    <d v="2023-02-15T00:00:00"/>
    <n v="4705.6899999999996"/>
    <n v="4705.17"/>
    <n v="4736.99"/>
    <n v="4675.6400000000003"/>
    <s v="301.48K"/>
    <x v="26"/>
    <n v="4724.6859999999997"/>
    <n v="6.6696466819459715E-3"/>
    <x v="2"/>
  </r>
  <r>
    <d v="2023-02-16T00:00:00"/>
    <n v="4706.96"/>
    <n v="4715.38"/>
    <n v="4754.18"/>
    <n v="4693.16"/>
    <s v="363.00K"/>
    <x v="27"/>
    <n v="4722.2635"/>
    <n v="6.7345451877278469E-3"/>
    <x v="2"/>
  </r>
  <r>
    <d v="2023-02-17T00:00:00"/>
    <n v="4702.5"/>
    <n v="4729.58"/>
    <n v="4734.79"/>
    <n v="4684.62"/>
    <s v="314.64K"/>
    <x v="28"/>
    <n v="4719.0424999999996"/>
    <n v="6.7575857213855754E-3"/>
    <x v="2"/>
  </r>
  <r>
    <d v="2023-02-20T00:00:00"/>
    <n v="4723.71"/>
    <n v="4741.75"/>
    <n v="4757.76"/>
    <n v="4700.45"/>
    <s v="274.20K"/>
    <x v="29"/>
    <n v="4715.6204999999991"/>
    <n v="6.7623637268993207E-3"/>
    <x v="2"/>
  </r>
  <r>
    <d v="2023-02-21T00:00:00"/>
    <n v="4723.07"/>
    <n v="4714.55"/>
    <n v="4758.28"/>
    <n v="4714.24"/>
    <s v="266.35K"/>
    <x v="30"/>
    <n v="4710.4714999999987"/>
    <n v="6.6631803251266785E-3"/>
    <x v="2"/>
  </r>
  <r>
    <d v="2023-02-22T00:00:00"/>
    <n v="4718.88"/>
    <n v="4736.91"/>
    <n v="4748.2299999999996"/>
    <n v="4684.97"/>
    <s v="282.72K"/>
    <x v="31"/>
    <n v="4704.8989999999994"/>
    <n v="6.6621267005870415E-3"/>
    <x v="2"/>
  </r>
  <r>
    <d v="2023-02-23T00:00:00"/>
    <n v="4734.46"/>
    <n v="4720.1899999999996"/>
    <n v="4761.63"/>
    <n v="4715.09"/>
    <s v="267.61K"/>
    <x v="32"/>
    <n v="4697.3639999999996"/>
    <n v="6.9114570606581133E-3"/>
    <x v="2"/>
  </r>
  <r>
    <d v="2023-02-24T00:00:00"/>
    <n v="4731.87"/>
    <n v="4778.43"/>
    <n v="4792.55"/>
    <n v="4715.3599999999997"/>
    <s v="325.28K"/>
    <x v="33"/>
    <n v="4688.2804999999989"/>
    <n v="6.8229195051765249E-3"/>
    <x v="2"/>
  </r>
  <r>
    <d v="2023-02-27T00:00:00"/>
    <n v="4751.43"/>
    <n v="4721.8"/>
    <n v="4769.55"/>
    <n v="4720.9399999999996"/>
    <s v="254.00K"/>
    <x v="34"/>
    <n v="4680.6809999999987"/>
    <n v="7.0434571893445916E-3"/>
    <x v="2"/>
  </r>
  <r>
    <d v="2023-02-28T00:00:00"/>
    <n v="4741.93"/>
    <n v="4767.7"/>
    <n v="4818.1000000000004"/>
    <n v="4720.25"/>
    <s v="364.95K"/>
    <x v="35"/>
    <n v="4667.9869999999992"/>
    <n v="7.7904815982785145E-3"/>
    <x v="2"/>
  </r>
  <r>
    <d v="2023-03-01T00:00:00"/>
    <n v="4761.03"/>
    <n v="4798.05"/>
    <n v="4836.96"/>
    <n v="4745.5200000000004"/>
    <s v="301.45K"/>
    <x v="36"/>
    <n v="4658.4934999999996"/>
    <n v="8.4687521793534639E-3"/>
    <x v="2"/>
  </r>
  <r>
    <d v="2023-03-02T00:00:00"/>
    <n v="4789.92"/>
    <n v="4769.6499999999996"/>
    <n v="4795.93"/>
    <n v="4737.57"/>
    <s v="294.83K"/>
    <x v="37"/>
    <n v="4649.4894999999997"/>
    <n v="8.5709684462714278E-3"/>
    <x v="2"/>
  </r>
  <r>
    <d v="2023-03-03T00:00:00"/>
    <n v="4758.92"/>
    <n v="4725.96"/>
    <n v="4771.43"/>
    <n v="4719.13"/>
    <s v="254.69K"/>
    <x v="38"/>
    <n v="4637.6024999999991"/>
    <n v="8.4107256695690365E-3"/>
    <x v="2"/>
  </r>
  <r>
    <d v="2023-03-06T00:00:00"/>
    <n v="4737.6499999999996"/>
    <n v="4761.01"/>
    <n v="4765.49"/>
    <n v="4717.01"/>
    <s v="238.81K"/>
    <x v="39"/>
    <n v="4629.2480000000005"/>
    <n v="8.713830717379167E-3"/>
    <x v="2"/>
  </r>
  <r>
    <d v="2023-03-07T00:00:00"/>
    <n v="4776.67"/>
    <n v="4796.93"/>
    <n v="4802.6000000000004"/>
    <n v="4751.07"/>
    <s v="259.10K"/>
    <x v="40"/>
    <n v="4622.276499999999"/>
    <n v="8.7160891283748453E-3"/>
    <x v="2"/>
  </r>
  <r>
    <d v="2023-03-08T00:00:00"/>
    <n v="4790.6899999999996"/>
    <n v="4719.21"/>
    <n v="4790.6899999999996"/>
    <n v="4718.01"/>
    <s v="296.97K"/>
    <x v="41"/>
    <n v="4614.5304999999998"/>
    <n v="8.5600520254025154E-3"/>
    <x v="2"/>
  </r>
  <r>
    <d v="2023-03-09T00:00:00"/>
    <n v="4717.75"/>
    <n v="4661.62"/>
    <n v="4721.6400000000003"/>
    <n v="4661.62"/>
    <s v="234.15K"/>
    <x v="42"/>
    <n v="4604.223"/>
    <n v="8.6052681356700474E-3"/>
    <x v="2"/>
  </r>
  <r>
    <d v="2023-03-10T00:00:00"/>
    <n v="4629.9399999999996"/>
    <n v="4656.4799999999996"/>
    <n v="4667.05"/>
    <n v="4622.1000000000004"/>
    <s v="170.76K"/>
    <x v="43"/>
    <n v="4595.6639999999998"/>
    <n v="8.1800454199353768E-3"/>
    <x v="2"/>
  </r>
  <r>
    <d v="2023-03-13T00:00:00"/>
    <n v="4651.28"/>
    <n v="4617.32"/>
    <n v="4664.33"/>
    <n v="4616.63"/>
    <s v="180.38K"/>
    <x v="44"/>
    <n v="4590.7195000000002"/>
    <n v="7.1824771574493743E-3"/>
    <x v="2"/>
  </r>
  <r>
    <d v="2023-03-14T00:00:00"/>
    <n v="4639.37"/>
    <n v="4658.2700000000004"/>
    <n v="4672.04"/>
    <n v="4629.0600000000004"/>
    <s v="200.40K"/>
    <x v="45"/>
    <n v="4585.8720000000003"/>
    <n v="7.2053574423001244E-3"/>
    <x v="2"/>
  </r>
  <r>
    <d v="2023-03-15T00:00:00"/>
    <n v="4657.24"/>
    <n v="4639.79"/>
    <n v="4676.13"/>
    <n v="4635.1000000000004"/>
    <s v="175.40K"/>
    <x v="46"/>
    <n v="4582.728000000001"/>
    <n v="7.3127670055628596E-3"/>
    <x v="2"/>
  </r>
  <r>
    <d v="2023-03-16T00:00:00"/>
    <n v="4642.54"/>
    <n v="4629.32"/>
    <n v="4651.1499999999996"/>
    <n v="4621.92"/>
    <s v="139.43K"/>
    <x v="47"/>
    <n v="4576.1990000000014"/>
    <n v="7.572636867494576E-3"/>
    <x v="2"/>
  </r>
  <r>
    <d v="2023-03-17T00:00:00"/>
    <n v="4634.0600000000004"/>
    <n v="4623.68"/>
    <n v="4639.43"/>
    <n v="4602.1400000000003"/>
    <s v="153.71K"/>
    <x v="48"/>
    <n v="4569.8420000000006"/>
    <n v="7.5659159969326982E-3"/>
    <x v="2"/>
  </r>
  <r>
    <d v="2023-03-20T00:00:00"/>
    <n v="4620.7299999999996"/>
    <n v="4616.03"/>
    <n v="4644.53"/>
    <n v="4607.8"/>
    <s v="169.26K"/>
    <x v="49"/>
    <n v="4564.0205000000005"/>
    <n v="7.5761721551441475E-3"/>
    <x v="2"/>
  </r>
  <r>
    <d v="2023-03-21T00:00:00"/>
    <n v="4611.62"/>
    <n v="4587.67"/>
    <n v="4615.87"/>
    <n v="4587.67"/>
    <s v="165.25K"/>
    <x v="50"/>
    <n v="4557.5040000000008"/>
    <n v="7.6443602251193383E-3"/>
    <x v="2"/>
  </r>
  <r>
    <d v="2023-03-22T00:00:00"/>
    <n v="4568.18"/>
    <n v="4561.37"/>
    <n v="4591.09"/>
    <n v="4546.8500000000004"/>
    <s v="154.88K"/>
    <x v="51"/>
    <n v="4549.3255000000008"/>
    <n v="7.8527733391176475E-3"/>
    <x v="2"/>
  </r>
  <r>
    <d v="2023-03-23T00:00:00"/>
    <n v="4552.79"/>
    <n v="4553.9799999999996"/>
    <n v="4571.97"/>
    <n v="4544.1400000000003"/>
    <s v="151.68K"/>
    <x v="52"/>
    <n v="4543.5969999999998"/>
    <n v="7.6662810476732946E-3"/>
    <x v="2"/>
  </r>
  <r>
    <d v="2023-03-24T00:00:00"/>
    <n v="4579.88"/>
    <n v="4499.7700000000004"/>
    <n v="4594.66"/>
    <n v="4498.93"/>
    <s v="178.43K"/>
    <x v="53"/>
    <n v="4544.2049999999999"/>
    <n v="9.6258860913123676E-3"/>
    <x v="3"/>
  </r>
  <r>
    <d v="2023-03-27T00:00:00"/>
    <n v="4497.55"/>
    <n v="4542.42"/>
    <n v="4553.08"/>
    <n v="4484.2700000000004"/>
    <s v="165.17K"/>
    <x v="54"/>
    <n v="4544.6255000000001"/>
    <n v="9.6012453801758955E-3"/>
    <x v="3"/>
  </r>
  <r>
    <d v="2023-03-28T00:00:00"/>
    <n v="4552.0600000000004"/>
    <n v="4550"/>
    <n v="4595.05"/>
    <n v="4548.4399999999996"/>
    <s v="167.59K"/>
    <x v="55"/>
    <n v="4548.1574999999993"/>
    <n v="8.6894030664253271E-3"/>
    <x v="2"/>
  </r>
  <r>
    <d v="2023-03-29T00:00:00"/>
    <n v="4580.95"/>
    <n v="4558.74"/>
    <n v="4583.68"/>
    <n v="4530.78"/>
    <s v="212.83K"/>
    <x v="56"/>
    <n v="4550.4570000000003"/>
    <n v="8.3916814932117421E-3"/>
    <x v="2"/>
  </r>
  <r>
    <d v="2023-03-30T00:00:00"/>
    <n v="4552.18"/>
    <n v="4597.1899999999996"/>
    <n v="4610.28"/>
    <n v="4547.1400000000003"/>
    <s v="168.42K"/>
    <x v="57"/>
    <n v="4552.816499999999"/>
    <n v="8.3989921050575157E-3"/>
    <x v="2"/>
  </r>
  <r>
    <d v="2023-03-31T00:00:00"/>
    <n v="4591.83"/>
    <n v="4586.25"/>
    <n v="4598.54"/>
    <n v="4549.08"/>
    <s v="169.11K"/>
    <x v="58"/>
    <n v="4560.3109999999997"/>
    <n v="8.9058995535413587E-3"/>
    <x v="2"/>
  </r>
  <r>
    <d v="2023-04-03T00:00:00"/>
    <n v="4598.22"/>
    <n v="4611.38"/>
    <n v="4628.71"/>
    <n v="4584.25"/>
    <s v="184.16K"/>
    <x v="59"/>
    <n v="4563.0150000000012"/>
    <n v="9.236525155628476E-3"/>
    <x v="2"/>
  </r>
  <r>
    <d v="2023-04-04T00:00:00"/>
    <n v="4621.75"/>
    <n v="4593.1400000000003"/>
    <n v="4640.63"/>
    <n v="4592.74"/>
    <s v="199.62K"/>
    <x v="60"/>
    <n v="4565.7124999999996"/>
    <n v="9.2363376722993645E-3"/>
    <x v="2"/>
  </r>
  <r>
    <d v="2023-04-06T00:00:00"/>
    <n v="4584.54"/>
    <n v="4547.91"/>
    <n v="4593.83"/>
    <n v="4535.0200000000004"/>
    <s v="196.80K"/>
    <x v="61"/>
    <n v="4569.3774999999996"/>
    <n v="9.3856135971281188E-3"/>
    <x v="2"/>
  </r>
  <r>
    <d v="2023-04-07T00:00:00"/>
    <n v="4546.57"/>
    <n v="4533.6000000000004"/>
    <n v="4557.42"/>
    <n v="4514.1899999999996"/>
    <s v="147.20K"/>
    <x v="62"/>
    <n v="4574.09"/>
    <n v="9.2116150608281457E-3"/>
    <x v="2"/>
  </r>
  <r>
    <d v="2023-04-10T00:00:00"/>
    <n v="4531.05"/>
    <n v="4554.59"/>
    <n v="4569.82"/>
    <n v="4523.5"/>
    <s v="169.76K"/>
    <x v="63"/>
    <n v="4581.4314999999997"/>
    <n v="8.9523340530434405E-3"/>
    <x v="2"/>
  </r>
  <r>
    <d v="2023-04-11T00:00:00"/>
    <n v="4554.33"/>
    <n v="4571.91"/>
    <n v="4575.49"/>
    <n v="4539.43"/>
    <s v="148.49K"/>
    <x v="64"/>
    <n v="4586.2419999999993"/>
    <n v="9.5662559650784504E-3"/>
    <x v="3"/>
  </r>
  <r>
    <d v="2023-04-12T00:00:00"/>
    <n v="4576.49"/>
    <n v="4539.1899999999996"/>
    <n v="4576.97"/>
    <n v="4531.29"/>
    <s v="200.38K"/>
    <x v="65"/>
    <n v="4589.4604999999992"/>
    <n v="9.5383697525028305E-3"/>
    <x v="3"/>
  </r>
  <r>
    <d v="2023-04-13T00:00:00"/>
    <n v="4526.66"/>
    <n v="4511.5"/>
    <n v="4531.72"/>
    <n v="4492.43"/>
    <s v="142.90K"/>
    <x v="66"/>
    <n v="4593.3059999999987"/>
    <n v="9.6166080095826494E-3"/>
    <x v="3"/>
  </r>
  <r>
    <d v="2023-04-14T00:00:00"/>
    <n v="4515.3999999999996"/>
    <n v="4520.01"/>
    <n v="4559.22"/>
    <n v="4509.8599999999997"/>
    <s v="150.31K"/>
    <x v="67"/>
    <n v="4599.0064999999986"/>
    <n v="9.2577264082503649E-3"/>
    <x v="2"/>
  </r>
  <r>
    <d v="2023-04-17T00:00:00"/>
    <n v="4517.63"/>
    <n v="4490.2"/>
    <n v="4538.1400000000003"/>
    <n v="4485.7"/>
    <s v="156.20K"/>
    <x v="68"/>
    <n v="4608.7319999999991"/>
    <n v="9.6924869212258978E-3"/>
    <x v="3"/>
  </r>
  <r>
    <d v="2023-04-18T00:00:00"/>
    <n v="4490.3999999999996"/>
    <n v="4475.84"/>
    <n v="4510.7700000000004"/>
    <n v="4467.3500000000004"/>
    <s v="169.57K"/>
    <x v="69"/>
    <n v="4620.2424999999994"/>
    <n v="9.7713558874259563E-3"/>
    <x v="3"/>
  </r>
  <r>
    <d v="2023-04-19T00:00:00"/>
    <n v="4448.05"/>
    <n v="4473.16"/>
    <n v="4478.8100000000004"/>
    <n v="4421.8100000000004"/>
    <s v="185.83K"/>
    <x v="70"/>
    <n v="4630.3209999999999"/>
    <n v="1.0114310233275208E-2"/>
    <x v="3"/>
  </r>
  <r>
    <d v="2023-04-20T00:00:00"/>
    <n v="4453.6099999999997"/>
    <n v="4513.3900000000003"/>
    <n v="4527.04"/>
    <n v="4453.18"/>
    <s v="222.85K"/>
    <x v="71"/>
    <n v="4643.7195000000002"/>
    <n v="9.7468373093679474E-3"/>
    <x v="3"/>
  </r>
  <r>
    <d v="2023-04-21T00:00:00"/>
    <n v="4564.95"/>
    <n v="4619.54"/>
    <n v="4620.6499999999996"/>
    <n v="4560.18"/>
    <s v="194.56K"/>
    <x v="72"/>
    <n v="4654.0730000000012"/>
    <n v="1.0285294365346229E-2"/>
    <x v="3"/>
  </r>
  <r>
    <d v="2023-04-24T00:00:00"/>
    <n v="4588.29"/>
    <n v="4568.04"/>
    <n v="4607.8599999999997"/>
    <n v="4568.04"/>
    <s v="172.93K"/>
    <x v="73"/>
    <n v="4656.1424999999999"/>
    <n v="9.2456765957048027E-3"/>
    <x v="2"/>
  </r>
  <r>
    <d v="2023-04-25T00:00:00"/>
    <n v="4568.1899999999996"/>
    <n v="4584.79"/>
    <n v="4606.62"/>
    <n v="4552.8"/>
    <s v="177.71K"/>
    <x v="74"/>
    <n v="4656.3564999999999"/>
    <n v="9.2099878498182342E-3"/>
    <x v="2"/>
  </r>
  <r>
    <d v="2023-04-26T00:00:00"/>
    <n v="4598.05"/>
    <n v="4616.8100000000004"/>
    <n v="4624.8999999999996"/>
    <n v="4580.26"/>
    <s v="188.96K"/>
    <x v="75"/>
    <n v="4658.3405000000002"/>
    <n v="9.1744703097210948E-3"/>
    <x v="2"/>
  </r>
  <r>
    <d v="2023-04-27T00:00:00"/>
    <n v="4628.1400000000003"/>
    <n v="4663.32"/>
    <n v="4684.26"/>
    <n v="4628.0200000000004"/>
    <s v="192.09K"/>
    <x v="76"/>
    <n v="4655.3490000000002"/>
    <n v="9.6845497495674521E-3"/>
    <x v="3"/>
  </r>
  <r>
    <d v="2023-04-28T00:00:00"/>
    <n v="4702.07"/>
    <n v="4643.79"/>
    <n v="4703.49"/>
    <n v="4643.79"/>
    <s v="207.37K"/>
    <x v="77"/>
    <n v="4649.6534999999994"/>
    <n v="9.5853674017354132E-3"/>
    <x v="3"/>
  </r>
  <r>
    <d v="2023-05-04T00:00:00"/>
    <n v="4645.91"/>
    <n v="4643.5600000000004"/>
    <n v="4669.6099999999997"/>
    <n v="4620.99"/>
    <s v="209.46K"/>
    <x v="78"/>
    <n v="4645.4709999999995"/>
    <n v="1.03562644942881E-2"/>
    <x v="3"/>
  </r>
  <r>
    <d v="2023-05-05T00:00:00"/>
    <n v="4652.17"/>
    <n v="4706.34"/>
    <n v="4707.13"/>
    <n v="4648.49"/>
    <s v="186.64K"/>
    <x v="79"/>
    <n v="4643.49"/>
    <n v="1.0035380065111113E-2"/>
    <x v="3"/>
  </r>
  <r>
    <d v="2023-05-08T00:00:00"/>
    <n v="4695.05"/>
    <n v="4688.12"/>
    <n v="4695.18"/>
    <n v="4654.21"/>
    <s v="236.03K"/>
    <x v="80"/>
    <n v="4637.834499999999"/>
    <n v="1.0512739651044857E-2"/>
    <x v="3"/>
  </r>
  <r>
    <d v="2023-05-09T00:00:00"/>
    <n v="4678.79"/>
    <n v="4673.76"/>
    <n v="4701.37"/>
    <n v="4666.04"/>
    <s v="212.50K"/>
    <x v="81"/>
    <n v="4632.780999999999"/>
    <n v="1.0681139035547889E-2"/>
    <x v="3"/>
  </r>
  <r>
    <d v="2023-05-10T00:00:00"/>
    <n v="4693.3999999999996"/>
    <n v="4642.01"/>
    <n v="4698.09"/>
    <n v="4642.01"/>
    <s v="224.24K"/>
    <x v="82"/>
    <n v="4629.6829999999991"/>
    <n v="1.0746536483924755E-2"/>
    <x v="3"/>
  </r>
  <r>
    <d v="2023-05-11T00:00:00"/>
    <n v="4627.26"/>
    <n v="4562.1099999999997"/>
    <n v="4642.6099999999997"/>
    <n v="4558.76"/>
    <s v="203.05K"/>
    <x v="83"/>
    <n v="4630.4869999999992"/>
    <n v="1.1683573273749196E-2"/>
    <x v="3"/>
  </r>
  <r>
    <d v="2023-05-12T00:00:00"/>
    <n v="4618.7"/>
    <n v="4649.3500000000004"/>
    <n v="4665.32"/>
    <n v="4595.07"/>
    <s v="233.22K"/>
    <x v="84"/>
    <n v="4631.1584999999995"/>
    <n v="1.1717303744457414E-2"/>
    <x v="3"/>
  </r>
  <r>
    <d v="2023-05-15T00:00:00"/>
    <n v="4653.3999999999996"/>
    <n v="4636.7299999999996"/>
    <n v="4653.3999999999996"/>
    <n v="4595.7299999999996"/>
    <s v="239.87K"/>
    <x v="85"/>
    <n v="4631.2260000000006"/>
    <n v="1.1755673770685373E-2"/>
    <x v="3"/>
  </r>
  <r>
    <d v="2023-05-16T00:00:00"/>
    <n v="4640.67"/>
    <n v="4702.49"/>
    <n v="4706.1400000000003"/>
    <n v="4640.67"/>
    <s v="281.47K"/>
    <x v="86"/>
    <n v="4626.058500000001"/>
    <n v="1.2089113429387273E-2"/>
    <x v="3"/>
  </r>
  <r>
    <d v="2023-05-17T00:00:00"/>
    <n v="4709.91"/>
    <n v="4735.9799999999996"/>
    <n v="4761.83"/>
    <n v="4706.45"/>
    <s v="273.29K"/>
    <x v="87"/>
    <n v="4623.6995000000006"/>
    <n v="1.230912949810738E-2"/>
    <x v="3"/>
  </r>
  <r>
    <d v="2023-05-18T00:00:00"/>
    <n v="4747.84"/>
    <n v="4701.04"/>
    <n v="4747.84"/>
    <n v="4697.2700000000004"/>
    <s v="246.21K"/>
    <x v="88"/>
    <n v="4616.5075000000015"/>
    <n v="1.1813545530565054E-2"/>
    <x v="3"/>
  </r>
  <r>
    <d v="2023-05-19T00:00:00"/>
    <n v="4691.97"/>
    <n v="4697.7299999999996"/>
    <n v="4734.32"/>
    <n v="4679.2299999999996"/>
    <s v="220.91K"/>
    <x v="89"/>
    <n v="4605.1044999999995"/>
    <n v="1.1740707719288403E-2"/>
    <x v="3"/>
  </r>
  <r>
    <d v="2023-05-22T00:00:00"/>
    <n v="4716.0200000000004"/>
    <n v="4699.38"/>
    <n v="4720.43"/>
    <n v="4687.6899999999996"/>
    <s v="262.20K"/>
    <x v="90"/>
    <n v="4596.6364999999996"/>
    <n v="1.1545324330380214E-2"/>
    <x v="3"/>
  </r>
  <r>
    <d v="2023-05-23T00:00:00"/>
    <n v="4660.68"/>
    <n v="4622.79"/>
    <n v="4660.68"/>
    <n v="4622.79"/>
    <s v="208.81K"/>
    <x v="91"/>
    <n v="4585.9315000000006"/>
    <n v="1.1443547153982781E-2"/>
    <x v="3"/>
  </r>
  <r>
    <d v="2023-05-24T00:00:00"/>
    <n v="4606.34"/>
    <n v="4578.7"/>
    <n v="4611.34"/>
    <n v="4541.6899999999996"/>
    <s v="200.46K"/>
    <x v="92"/>
    <n v="4577.8030000000008"/>
    <n v="1.1225935298371749E-2"/>
    <x v="3"/>
  </r>
  <r>
    <d v="2023-05-25T00:00:00"/>
    <n v="4592.57"/>
    <n v="4576.03"/>
    <n v="4603.49"/>
    <n v="4567.24"/>
    <s v="185.33K"/>
    <x v="93"/>
    <n v="4575.0370000000003"/>
    <n v="1.1354791433813446E-2"/>
    <x v="3"/>
  </r>
  <r>
    <d v="2023-05-26T00:00:00"/>
    <n v="4607.87"/>
    <n v="4556.12"/>
    <n v="4615.46"/>
    <n v="4547.93"/>
    <s v="215.71K"/>
    <x v="94"/>
    <n v="4571.5755000000008"/>
    <n v="1.1410785531069506E-2"/>
    <x v="3"/>
  </r>
  <r>
    <d v="2023-05-29T00:00:00"/>
    <n v="4538.22"/>
    <n v="4558.24"/>
    <n v="4570.4399999999996"/>
    <n v="4520.5"/>
    <s v="218.42K"/>
    <x v="95"/>
    <n v="4567.835"/>
    <n v="1.1391856921016921E-2"/>
    <x v="3"/>
  </r>
  <r>
    <d v="2023-05-30T00:00:00"/>
    <n v="4514.2299999999996"/>
    <n v="4610.7"/>
    <n v="4618.5600000000004"/>
    <n v="4509.33"/>
    <s v="256.91K"/>
    <x v="96"/>
    <n v="4567.0239999999994"/>
    <n v="1.089262998913448E-2"/>
    <x v="3"/>
  </r>
  <r>
    <d v="2023-05-31T00:00:00"/>
    <n v="4618.42"/>
    <n v="4588.92"/>
    <n v="4645.1000000000004"/>
    <n v="4586.28"/>
    <s v="248.24K"/>
    <x v="97"/>
    <n v="4568.7139999999999"/>
    <n v="1.089699642241808E-2"/>
    <x v="3"/>
  </r>
  <r>
    <d v="2023-06-01T00:00:00"/>
    <n v="4606.29"/>
    <n v="4544.24"/>
    <n v="4608.82"/>
    <n v="4526.83"/>
    <s v="284.77K"/>
    <x v="98"/>
    <n v="4560.0609999999997"/>
    <n v="1.0682087978403311E-2"/>
    <x v="3"/>
  </r>
  <r>
    <d v="2023-06-02T00:00:00"/>
    <n v="4539.0600000000004"/>
    <n v="4634.05"/>
    <n v="4641.45"/>
    <n v="4520.93"/>
    <s v="372.95K"/>
    <x v="99"/>
    <n v="4551.5594999999994"/>
    <n v="1.0680667025952478E-2"/>
    <x v="3"/>
  </r>
  <r>
    <d v="2023-06-05T00:00:00"/>
    <n v="4593.9799999999996"/>
    <n v="4490.87"/>
    <n v="4601.8100000000004"/>
    <n v="4490.87"/>
    <s v="315.01K"/>
    <x v="100"/>
    <n v="4547.9849999999988"/>
    <n v="1.0412079925897965E-2"/>
    <x v="3"/>
  </r>
  <r>
    <d v="2023-06-06T00:00:00"/>
    <n v="4616.83"/>
    <n v="4679.5"/>
    <n v="4692.59"/>
    <n v="4600.96"/>
    <s v="319.02K"/>
    <x v="101"/>
    <n v="4541.3019999999988"/>
    <n v="9.9638265153979659E-3"/>
    <x v="3"/>
  </r>
  <r>
    <d v="2023-06-07T00:00:00"/>
    <n v="4709.4799999999996"/>
    <n v="4662.1099999999997"/>
    <n v="4726.34"/>
    <n v="4651.99"/>
    <s v="347.68K"/>
    <x v="102"/>
    <n v="4528.7209999999995"/>
    <n v="1.0776562413806218E-2"/>
    <x v="3"/>
  </r>
  <r>
    <d v="2023-06-08T00:00:00"/>
    <n v="4640.6899999999996"/>
    <n v="4629.8999999999996"/>
    <n v="4647.5"/>
    <n v="4616.22"/>
    <s v="247.98K"/>
    <x v="103"/>
    <n v="4516.2384999999995"/>
    <n v="1.0960142776730148E-2"/>
    <x v="3"/>
  </r>
  <r>
    <d v="2023-06-09T00:00:00"/>
    <n v="4620.05"/>
    <n v="4555.03"/>
    <n v="4647.57"/>
    <n v="4541.43"/>
    <s v="274.36K"/>
    <x v="104"/>
    <n v="4508.7265000000007"/>
    <n v="1.0778726279785596E-2"/>
    <x v="3"/>
  </r>
  <r>
    <d v="2023-06-12T00:00:00"/>
    <n v="4550.05"/>
    <n v="4576.91"/>
    <n v="4597.8500000000004"/>
    <n v="4550.05"/>
    <s v="208.48K"/>
    <x v="105"/>
    <n v="4503.9094999999998"/>
    <n v="1.0938009186203338E-2"/>
    <x v="3"/>
  </r>
  <r>
    <d v="2023-06-13T00:00:00"/>
    <n v="4593.49"/>
    <n v="4563.9799999999996"/>
    <n v="4613.95"/>
    <n v="4558.84"/>
    <s v="229.82K"/>
    <x v="106"/>
    <n v="4501.2450000000008"/>
    <n v="1.0496062176125089E-2"/>
    <x v="3"/>
  </r>
  <r>
    <d v="2023-06-14T00:00:00"/>
    <n v="4566.07"/>
    <n v="4495.2700000000004"/>
    <n v="4567.49"/>
    <n v="4494.1099999999997"/>
    <s v="220.48K"/>
    <x v="107"/>
    <n v="4494.7595000000001"/>
    <n v="1.0319784758627052E-2"/>
    <x v="3"/>
  </r>
  <r>
    <d v="2023-06-15T00:00:00"/>
    <n v="4519.78"/>
    <n v="4536.76"/>
    <n v="4560.7299999999996"/>
    <n v="4459.7299999999996"/>
    <s v="252.83K"/>
    <x v="108"/>
    <n v="4485.7624999999998"/>
    <n v="1.0887846373784354E-2"/>
    <x v="3"/>
  </r>
  <r>
    <d v="2023-06-16T00:00:00"/>
    <n v="4522.6099999999997"/>
    <n v="4512.0200000000004"/>
    <n v="4523.87"/>
    <n v="4487.13"/>
    <s v="196.46K"/>
    <x v="109"/>
    <n v="4482.4030000000002"/>
    <n v="1.1346037637120566E-2"/>
    <x v="3"/>
  </r>
  <r>
    <d v="2023-06-19T00:00:00"/>
    <n v="4501.92"/>
    <n v="4499.09"/>
    <n v="4533.09"/>
    <n v="4491.84"/>
    <s v="225.04K"/>
    <x v="110"/>
    <n v="4479.7335000000003"/>
    <n v="1.1386202046780199E-2"/>
    <x v="3"/>
  </r>
  <r>
    <d v="2023-06-20T00:00:00"/>
    <n v="4498.1099999999997"/>
    <n v="4546.03"/>
    <n v="4573.83"/>
    <n v="4454.99"/>
    <s v="309.86K"/>
    <x v="111"/>
    <n v="4473.5375000000004"/>
    <n v="1.2203432401733459E-2"/>
    <x v="3"/>
  </r>
  <r>
    <d v="2023-06-21T00:00:00"/>
    <n v="4551.0200000000004"/>
    <n v="4517.29"/>
    <n v="4556.03"/>
    <n v="4503.8"/>
    <s v="235.72K"/>
    <x v="112"/>
    <n v="4463.0355"/>
    <n v="1.2935566229925062E-2"/>
    <x v="3"/>
  </r>
  <r>
    <d v="2023-06-26T00:00:00"/>
    <n v="4523.34"/>
    <n v="4539.92"/>
    <n v="4552.42"/>
    <n v="4494.79"/>
    <s v="249.27K"/>
    <x v="113"/>
    <n v="4449.0545000000002"/>
    <n v="1.2505786640902433E-2"/>
    <x v="3"/>
  </r>
  <r>
    <d v="2023-06-27T00:00:00"/>
    <n v="4533.0600000000004"/>
    <n v="4534.8900000000003"/>
    <n v="4566.91"/>
    <n v="4522.5"/>
    <s v="231.89K"/>
    <x v="114"/>
    <n v="4434.0559999999996"/>
    <n v="1.2623497596509891E-2"/>
    <x v="3"/>
  </r>
  <r>
    <d v="2023-06-28T00:00:00"/>
    <n v="4522"/>
    <n v="4544.59"/>
    <n v="4564.67"/>
    <n v="4517.79"/>
    <s v="266.44K"/>
    <x v="115"/>
    <n v="4419.3734999999997"/>
    <n v="1.266661021776613E-2"/>
    <x v="3"/>
  </r>
  <r>
    <d v="2023-06-29T00:00:00"/>
    <n v="4548.03"/>
    <n v="4438.84"/>
    <n v="4548.03"/>
    <n v="4427.92"/>
    <s v="253.26K"/>
    <x v="116"/>
    <n v="4403.3910000000005"/>
    <n v="1.2723219335192265E-2"/>
    <x v="3"/>
  </r>
  <r>
    <d v="2023-06-30T00:00:00"/>
    <n v="4445.3599999999997"/>
    <n v="4438.3"/>
    <n v="4466.63"/>
    <n v="4414.59"/>
    <s v="203.60K"/>
    <x v="117"/>
    <n v="4384.6550000000007"/>
    <n v="1.2547984160541568E-2"/>
    <x v="3"/>
  </r>
  <r>
    <d v="2023-07-03T00:00:00"/>
    <n v="4436.26"/>
    <n v="4448.74"/>
    <n v="4472.09"/>
    <n v="4412.6899999999996"/>
    <s v="221.38K"/>
    <x v="118"/>
    <n v="4371.2160000000003"/>
    <n v="1.1814836768022858E-2"/>
    <x v="3"/>
  </r>
  <r>
    <d v="2023-07-04T00:00:00"/>
    <n v="4467.57"/>
    <n v="4467.17"/>
    <n v="4482.76"/>
    <n v="4438.07"/>
    <s v="267.64K"/>
    <x v="119"/>
    <n v="4356.5945000000002"/>
    <n v="1.1859979067504418E-2"/>
    <x v="3"/>
  </r>
  <r>
    <d v="2023-07-05T00:00:00"/>
    <n v="4460.32"/>
    <n v="4365.6099999999997"/>
    <n v="4466.5600000000004"/>
    <n v="4350.3"/>
    <s v="249.63K"/>
    <x v="120"/>
    <n v="4339.3415000000005"/>
    <n v="1.1608300355372103E-2"/>
    <x v="3"/>
  </r>
  <r>
    <d v="2023-07-06T00:00:00"/>
    <n v="4365.21"/>
    <n v="4461.25"/>
    <n v="4465.5"/>
    <n v="4327.51"/>
    <s v="307.94K"/>
    <x v="121"/>
    <n v="4321.5740000000005"/>
    <n v="1.1595477306942459E-2"/>
    <x v="3"/>
  </r>
  <r>
    <d v="2023-07-07T00:00:00"/>
    <n v="4459.83"/>
    <n v="4501.34"/>
    <n v="4510.7299999999996"/>
    <n v="4427.5200000000004"/>
    <s v="254.32K"/>
    <x v="122"/>
    <n v="4309.0469999999996"/>
    <n v="1.0932078499919196E-2"/>
    <x v="3"/>
  </r>
  <r>
    <d v="2023-07-10T00:00:00"/>
    <n v="4490.45"/>
    <n v="4521.9799999999996"/>
    <n v="4548.8900000000003"/>
    <n v="4454.42"/>
    <s v="303.93K"/>
    <x v="123"/>
    <n v="4291.7299999999996"/>
    <n v="9.3180205378968085E-3"/>
    <x v="2"/>
  </r>
  <r>
    <d v="2023-07-11T00:00:00"/>
    <n v="4523.71"/>
    <n v="4516.88"/>
    <n v="4528.13"/>
    <n v="4487.53"/>
    <s v="320.37K"/>
    <x v="124"/>
    <n v="4272.38"/>
    <n v="8.9732451604952138E-3"/>
    <x v="2"/>
  </r>
  <r>
    <d v="2023-07-12T00:00:00"/>
    <n v="4496.76"/>
    <n v="4455.8"/>
    <n v="4516.84"/>
    <n v="4452.3599999999997"/>
    <s v="351.94K"/>
    <x v="125"/>
    <n v="4249.7295000000004"/>
    <n v="8.5522289329251523E-3"/>
    <x v="2"/>
  </r>
  <r>
    <d v="2023-07-13T00:00:00"/>
    <n v="4463.78"/>
    <n v="4378.04"/>
    <n v="4464.8"/>
    <n v="4364.17"/>
    <s v="296.84K"/>
    <x v="126"/>
    <n v="4227.6379999999999"/>
    <n v="8.555552111644972E-3"/>
    <x v="2"/>
  </r>
  <r>
    <d v="2023-07-14T00:00:00"/>
    <n v="4386.13"/>
    <n v="4458.84"/>
    <n v="4494.91"/>
    <n v="4386.13"/>
    <s v="333.13K"/>
    <x v="127"/>
    <n v="4208.2284999999993"/>
    <n v="8.8333824588041447E-3"/>
    <x v="2"/>
  </r>
  <r>
    <d v="2023-07-17T00:00:00"/>
    <n v="4452.59"/>
    <n v="4453.3500000000004"/>
    <n v="4476.8"/>
    <n v="4435.53"/>
    <s v="270.62K"/>
    <x v="128"/>
    <n v="4196.4839999999995"/>
    <n v="9.6887059523844306E-3"/>
    <x v="3"/>
  </r>
  <r>
    <d v="2023-07-18T00:00:00"/>
    <n v="4469.22"/>
    <n v="4416.29"/>
    <n v="4472.6499999999996"/>
    <n v="4404.78"/>
    <s v="358.09K"/>
    <x v="129"/>
    <n v="4181.4555"/>
    <n v="8.7716066888730414E-3"/>
    <x v="2"/>
  </r>
  <r>
    <d v="2023-07-19T00:00:00"/>
    <n v="4378"/>
    <n v="4287.3599999999997"/>
    <n v="4378.3900000000003"/>
    <n v="4287.3599999999997"/>
    <s v="290.44K"/>
    <x v="130"/>
    <n v="4164.7855"/>
    <n v="8.6069689783661828E-3"/>
    <x v="2"/>
  </r>
  <r>
    <d v="2023-07-20T00:00:00"/>
    <n v="4288.07"/>
    <n v="4284.37"/>
    <n v="4308.45"/>
    <n v="4273.6499999999996"/>
    <s v="259.03K"/>
    <x v="131"/>
    <n v="4152.2434999999996"/>
    <n v="7.6741873427040664E-3"/>
    <x v="2"/>
  </r>
  <r>
    <d v="2023-07-21T00:00:00"/>
    <n v="4271.3999999999996"/>
    <n v="4208.3999999999996"/>
    <n v="4272.1499999999996"/>
    <n v="4190.5600000000004"/>
    <s v="246.48K"/>
    <x v="132"/>
    <n v="4145.2920000000004"/>
    <n v="6.6591603665452871E-3"/>
    <x v="2"/>
  </r>
  <r>
    <d v="2023-07-24T00:00:00"/>
    <n v="4223.37"/>
    <n v="4241.7700000000004"/>
    <n v="4264.2299999999996"/>
    <n v="4215.21"/>
    <s v="250.82K"/>
    <x v="133"/>
    <n v="4137.7104999999992"/>
    <n v="6.7527782304530213E-3"/>
    <x v="2"/>
  </r>
  <r>
    <d v="2023-07-25T00:00:00"/>
    <n v="4239.41"/>
    <n v="4218.25"/>
    <n v="4272.96"/>
    <n v="4203.42"/>
    <s v="301.48K"/>
    <x v="134"/>
    <n v="4132.49"/>
    <n v="6.3797178648973473E-3"/>
    <x v="2"/>
  </r>
  <r>
    <d v="2023-07-26T00:00:00"/>
    <n v="4202.3500000000004"/>
    <n v="4162.42"/>
    <n v="4214.7299999999996"/>
    <n v="4157.5"/>
    <s v="261.33K"/>
    <x v="135"/>
    <n v="4124.7999999999993"/>
    <n v="6.4403110831407085E-3"/>
    <x v="2"/>
  </r>
  <r>
    <d v="2023-07-27T00:00:00"/>
    <n v="4173.3100000000004"/>
    <n v="4179.96"/>
    <n v="4220.3100000000004"/>
    <n v="4165.9399999999996"/>
    <s v="221.10K"/>
    <x v="136"/>
    <n v="4117.6099999999997"/>
    <n v="6.3371796854662455E-3"/>
    <x v="2"/>
  </r>
  <r>
    <d v="2023-07-28T00:00:00"/>
    <n v="4176.58"/>
    <n v="4150.5"/>
    <n v="4186.75"/>
    <n v="4147.2"/>
    <s v="213.94K"/>
    <x v="137"/>
    <n v="4110.6689999999999"/>
    <n v="6.2985310236839814E-3"/>
    <x v="2"/>
  </r>
  <r>
    <d v="2023-07-31T00:00:00"/>
    <n v="4143.83"/>
    <n v="4123.58"/>
    <n v="4153.29"/>
    <n v="4121.22"/>
    <s v="177.29K"/>
    <x v="138"/>
    <n v="4102.2"/>
    <n v="6.369421215016967E-3"/>
    <x v="2"/>
  </r>
  <r>
    <d v="2023-08-01T00:00:00"/>
    <n v="4122.51"/>
    <n v="4110.29"/>
    <n v="4134.25"/>
    <n v="4103.6000000000004"/>
    <s v="190.44K"/>
    <x v="139"/>
    <n v="4095.9614999999999"/>
    <n v="6.3100452576410762E-3"/>
    <x v="2"/>
  </r>
  <r>
    <d v="2023-08-02T00:00:00"/>
    <n v="4104.97"/>
    <n v="4109.2700000000004"/>
    <n v="4122.21"/>
    <n v="4097.42"/>
    <s v="173.17K"/>
    <x v="140"/>
    <n v="4090.7194999999992"/>
    <n v="6.2554991348623178E-3"/>
    <x v="2"/>
  </r>
  <r>
    <d v="2023-08-03T00:00:00"/>
    <n v="4114.67"/>
    <n v="4120.28"/>
    <n v="4129.74"/>
    <n v="4094.82"/>
    <s v="198.64K"/>
    <x v="141"/>
    <n v="4086.211499999999"/>
    <n v="6.2165329023802429E-3"/>
    <x v="2"/>
  </r>
  <r>
    <d v="2023-08-04T00:00:00"/>
    <n v="4113.49"/>
    <n v="4100.43"/>
    <n v="4116.71"/>
    <n v="4098.3500000000004"/>
    <s v="176.68K"/>
    <x v="142"/>
    <n v="4080.9790000000003"/>
    <n v="6.1631528356465631E-3"/>
    <x v="2"/>
  </r>
  <r>
    <d v="2023-08-07T00:00:00"/>
    <n v="4103.45"/>
    <n v="4080.39"/>
    <n v="4106.3"/>
    <n v="4075.58"/>
    <s v="178.85K"/>
    <x v="143"/>
    <n v="4074.8744999999994"/>
    <n v="6.2034549986766914E-3"/>
    <x v="2"/>
  </r>
  <r>
    <d v="2023-08-08T00:00:00"/>
    <n v="4070.7"/>
    <n v="4037.94"/>
    <n v="4070.7"/>
    <n v="4037.94"/>
    <s v="162.28K"/>
    <x v="144"/>
    <n v="4069.6244999999994"/>
    <n v="6.2406351762778712E-3"/>
    <x v="2"/>
  </r>
  <r>
    <d v="2023-08-09T00:00:00"/>
    <n v="4054.93"/>
    <n v="4069.93"/>
    <n v="4085.35"/>
    <n v="4040.46"/>
    <s v="196.22K"/>
    <x v="145"/>
    <n v="4064.347999999999"/>
    <n v="6.2604177203711151E-3"/>
    <x v="2"/>
  </r>
  <r>
    <d v="2023-08-10T00:00:00"/>
    <n v="4075.59"/>
    <n v="4141.5600000000004"/>
    <n v="4141.82"/>
    <n v="4063.67"/>
    <s v="267.09K"/>
    <x v="146"/>
    <n v="4060.711499999999"/>
    <n v="6.3490788983621401E-3"/>
    <x v="2"/>
  </r>
  <r>
    <d v="2023-08-11T00:00:00"/>
    <n v="4151.24"/>
    <n v="4148.9399999999996"/>
    <n v="4185.21"/>
    <n v="4127.43"/>
    <s v="249.85K"/>
    <x v="147"/>
    <n v="4055.3354999999997"/>
    <n v="6.2132876115953053E-3"/>
    <x v="2"/>
  </r>
  <r>
    <d v="2023-08-14T00:00:00"/>
    <n v="4152.0200000000004"/>
    <n v="4132.68"/>
    <n v="4153.33"/>
    <n v="4117.58"/>
    <s v="230.81K"/>
    <x v="148"/>
    <n v="4044.9574999999991"/>
    <n v="4.1744697560855935E-3"/>
    <x v="2"/>
  </r>
  <r>
    <d v="2023-08-15T00:00:00"/>
    <n v="4135.82"/>
    <n v="4128.2"/>
    <n v="4146.12"/>
    <n v="4112.97"/>
    <s v="222.76K"/>
    <x v="149"/>
    <n v="4034.4944999999993"/>
    <n v="4.1609551396505949E-3"/>
    <x v="2"/>
  </r>
  <r>
    <d v="2023-08-16T00:00:00"/>
    <n v="4127.16"/>
    <n v="4145.32"/>
    <n v="4150.5"/>
    <n v="4117.8"/>
    <s v="273.60K"/>
    <x v="150"/>
    <n v="4024.5074999999988"/>
    <n v="4.153156275404731E-3"/>
    <x v="2"/>
  </r>
  <r>
    <d v="2023-08-17T00:00:00"/>
    <n v="4149.04"/>
    <n v="4116.83"/>
    <n v="4152.43"/>
    <n v="4111.88"/>
    <s v="319.63K"/>
    <x v="151"/>
    <n v="4014.2374999999984"/>
    <n v="4.160266991858735E-3"/>
    <x v="2"/>
  </r>
  <r>
    <d v="2023-08-18T00:00:00"/>
    <n v="4119.7700000000004"/>
    <n v="4129.1499999999996"/>
    <n v="4155.68"/>
    <n v="4113.91"/>
    <s v="300.51K"/>
    <x v="152"/>
    <n v="4004.086499999999"/>
    <n v="4.2517218324652495E-3"/>
    <x v="2"/>
  </r>
  <r>
    <d v="2023-08-21T00:00:00"/>
    <n v="4118.96"/>
    <n v="4087.34"/>
    <n v="4119.2"/>
    <n v="4068.34"/>
    <s v="257.60K"/>
    <x v="153"/>
    <n v="3996.1014999999998"/>
    <n v="4.3148923422603553E-3"/>
    <x v="2"/>
  </r>
  <r>
    <d v="2023-08-22T00:00:00"/>
    <n v="4085.61"/>
    <n v="4069.77"/>
    <n v="4086.12"/>
    <n v="4063.44"/>
    <s v="223.27K"/>
    <x v="154"/>
    <n v="3985.3550000000005"/>
    <n v="5.0750251305624189E-3"/>
    <x v="2"/>
  </r>
  <r>
    <d v="2023-08-23T00:00:00"/>
    <n v="4058.55"/>
    <n v="4039.87"/>
    <n v="4064.64"/>
    <n v="4039.32"/>
    <s v="186.21K"/>
    <x v="155"/>
    <n v="3973.9695000000002"/>
    <n v="5.3455195286345328E-3"/>
    <x v="2"/>
  </r>
  <r>
    <d v="2023-08-24T00:00:00"/>
    <n v="4034.49"/>
    <n v="4005.07"/>
    <n v="4034.59"/>
    <n v="4005.07"/>
    <s v="161.25K"/>
    <x v="156"/>
    <n v="3963.3739999999998"/>
    <n v="5.2715507557999372E-3"/>
    <x v="2"/>
  </r>
  <r>
    <d v="2023-08-25T00:00:00"/>
    <n v="4007.2"/>
    <n v="4019.39"/>
    <n v="4027.86"/>
    <n v="3993.92"/>
    <s v="151.03K"/>
    <x v="157"/>
    <n v="3953.8039999999992"/>
    <n v="5.227074100828474E-3"/>
    <x v="2"/>
  </r>
  <r>
    <d v="2023-08-28T00:00:00"/>
    <n v="4019.06"/>
    <n v="4023.99"/>
    <n v="4042.66"/>
    <n v="3994.26"/>
    <s v="191.04K"/>
    <x v="158"/>
    <n v="3947.1925000000001"/>
    <n v="5.6361468350321726E-3"/>
    <x v="2"/>
  </r>
  <r>
    <d v="2023-08-29T00:00:00"/>
    <n v="4017.67"/>
    <n v="4021.21"/>
    <n v="4034.92"/>
    <n v="4017.67"/>
    <s v="207.92K"/>
    <x v="159"/>
    <n v="3939.7584999999999"/>
    <n v="5.5325493552670305E-3"/>
    <x v="2"/>
  </r>
  <r>
    <d v="2023-08-30T00:00:00"/>
    <n v="4014.81"/>
    <n v="4011.47"/>
    <n v="4065.94"/>
    <n v="4010.11"/>
    <s v="262.05K"/>
    <x v="160"/>
    <n v="3932.5650000000001"/>
    <n v="5.5571334729838428E-3"/>
    <x v="2"/>
  </r>
  <r>
    <d v="2023-08-31T00:00:00"/>
    <n v="4010.02"/>
    <n v="3993.42"/>
    <n v="4032.98"/>
    <n v="3992.52"/>
    <s v="209.78K"/>
    <x v="161"/>
    <n v="3925.0335"/>
    <n v="5.5528767213721157E-3"/>
    <x v="2"/>
  </r>
  <r>
    <d v="2023-09-01T00:00:00"/>
    <n v="3991.4"/>
    <n v="3997.5"/>
    <n v="4016.74"/>
    <n v="3987.43"/>
    <s v="173.29K"/>
    <x v="162"/>
    <n v="3919.1425000000004"/>
    <n v="5.9181173835540328E-3"/>
    <x v="2"/>
  </r>
  <r>
    <d v="2023-09-04T00:00:00"/>
    <n v="3998.45"/>
    <n v="3965.43"/>
    <n v="4002.27"/>
    <n v="3965.43"/>
    <s v="156.40K"/>
    <x v="163"/>
    <n v="3914.3039999999992"/>
    <n v="5.8867439335082011E-3"/>
    <x v="2"/>
  </r>
  <r>
    <d v="2023-09-05T00:00:00"/>
    <n v="3965.17"/>
    <n v="3977.29"/>
    <n v="3979.75"/>
    <n v="3956.57"/>
    <s v="131.14K"/>
    <x v="164"/>
    <n v="3907.6550000000002"/>
    <n v="6.0030122786036231E-3"/>
    <x v="2"/>
  </r>
  <r>
    <d v="2023-09-06T00:00:00"/>
    <n v="3982.2"/>
    <n v="3967.46"/>
    <n v="4013.85"/>
    <n v="3958.38"/>
    <s v="157.20K"/>
    <x v="165"/>
    <n v="3903.6590000000006"/>
    <n v="5.9715272353374552E-3"/>
    <x v="2"/>
  </r>
  <r>
    <d v="2023-09-07T00:00:00"/>
    <n v="3968.07"/>
    <n v="3949.4"/>
    <n v="3971.62"/>
    <n v="3945.14"/>
    <s v="141.00K"/>
    <x v="166"/>
    <n v="3898.2479999999996"/>
    <n v="5.8512409417424693E-3"/>
    <x v="2"/>
  </r>
  <r>
    <d v="2023-09-08T00:00:00"/>
    <n v="3943.68"/>
    <n v="3943.32"/>
    <n v="3952.14"/>
    <n v="3929.7"/>
    <s v="147.06K"/>
    <x v="167"/>
    <n v="3893.7224999999989"/>
    <n v="5.8486837943179616E-3"/>
    <x v="2"/>
  </r>
  <r>
    <d v="2023-09-11T00:00:00"/>
    <n v="3942.76"/>
    <n v="3935.91"/>
    <n v="3946.25"/>
    <n v="3924.72"/>
    <s v="128.96K"/>
    <x v="168"/>
    <n v="3889.9755000000005"/>
    <n v="5.7371443589369474E-3"/>
    <x v="2"/>
  </r>
  <r>
    <d v="2023-09-12T00:00:00"/>
    <n v="3936.08"/>
    <n v="3920.31"/>
    <n v="3940.36"/>
    <n v="3911.6"/>
    <s v="145.17K"/>
    <x v="169"/>
    <n v="3885.4379999999996"/>
    <n v="5.7832515083724003E-3"/>
    <x v="2"/>
  </r>
  <r>
    <d v="2023-09-13T00:00:00"/>
    <n v="3921.76"/>
    <n v="3949.79"/>
    <n v="3969.26"/>
    <n v="3918.2"/>
    <s v="194.56K"/>
    <x v="170"/>
    <n v="3880.6455000000001"/>
    <n v="5.7980580839814755E-3"/>
    <x v="2"/>
  </r>
  <r>
    <d v="2023-09-14T00:00:00"/>
    <n v="3946.02"/>
    <n v="3953.16"/>
    <n v="3964.48"/>
    <n v="3945.26"/>
    <s v="165.32K"/>
    <x v="171"/>
    <n v="3877.4924999999994"/>
    <n v="5.918761609461338E-3"/>
    <x v="2"/>
  </r>
  <r>
    <d v="2023-09-15T00:00:00"/>
    <n v="3960.07"/>
    <n v="3907.07"/>
    <n v="3963.04"/>
    <n v="3902.18"/>
    <s v="187.21K"/>
    <x v="172"/>
    <n v="3872.0034999999998"/>
    <n v="5.7808837863970635E-3"/>
    <x v="2"/>
  </r>
  <r>
    <d v="2023-09-18T00:00:00"/>
    <n v="3904.03"/>
    <n v="3862.39"/>
    <n v="3914.16"/>
    <n v="3862.39"/>
    <s v="163.66K"/>
    <x v="173"/>
    <n v="3865.97"/>
    <n v="5.689098139744663E-3"/>
    <x v="2"/>
  </r>
  <r>
    <d v="2023-09-19T00:00:00"/>
    <n v="3857.9"/>
    <n v="3831.17"/>
    <n v="3867.59"/>
    <n v="3827.08"/>
    <s v="133.80K"/>
    <x v="174"/>
    <n v="3863.7740000000003"/>
    <n v="5.0498690187286656E-3"/>
    <x v="2"/>
  </r>
  <r>
    <d v="2023-09-20T00:00:00"/>
    <n v="3846.64"/>
    <n v="3839.78"/>
    <n v="3856.48"/>
    <n v="3839.78"/>
    <s v="118.15K"/>
    <x v="175"/>
    <n v="3864.9925000000003"/>
    <n v="4.4831898464541414E-3"/>
    <x v="2"/>
  </r>
  <r>
    <d v="2023-09-21T00:00:00"/>
    <n v="3843.09"/>
    <n v="3870.05"/>
    <n v="3872.94"/>
    <n v="3834.95"/>
    <s v="130.28K"/>
    <x v="176"/>
    <n v="3868.3535000000002"/>
    <n v="4.7366851782492106E-3"/>
    <x v="2"/>
  </r>
  <r>
    <d v="2023-09-22T00:00:00"/>
    <n v="3874.97"/>
    <n v="3871.65"/>
    <n v="3881.35"/>
    <n v="3854.66"/>
    <s v="127.53K"/>
    <x v="177"/>
    <n v="3872.0180000000009"/>
    <n v="4.718267296895829E-3"/>
    <x v="2"/>
  </r>
  <r>
    <d v="2023-09-25T00:00:00"/>
    <n v="3870.38"/>
    <n v="3875.18"/>
    <n v="3880.42"/>
    <n v="3860.41"/>
    <s v="122.34K"/>
    <x v="178"/>
    <n v="3873.1780000000008"/>
    <n v="4.5430438447590657E-3"/>
    <x v="2"/>
  </r>
  <r>
    <d v="2023-09-26T00:00:00"/>
    <n v="3873.8"/>
    <n v="3853.62"/>
    <n v="3876.17"/>
    <n v="3853.62"/>
    <s v="137.34K"/>
    <x v="179"/>
    <n v="3873.5165000000002"/>
    <n v="4.7101709787560689E-3"/>
    <x v="2"/>
  </r>
  <r>
    <d v="2023-09-27T00:00:00"/>
    <n v="3864.18"/>
    <n v="3881.49"/>
    <n v="3889.16"/>
    <n v="3853.82"/>
    <s v="172.54K"/>
    <x v="180"/>
    <n v="3874.280999999999"/>
    <n v="4.7548333390008196E-3"/>
    <x v="2"/>
  </r>
  <r>
    <d v="2023-09-28T00:00:00"/>
    <n v="3892.2"/>
    <n v="3885.52"/>
    <n v="3900.04"/>
    <n v="3870.38"/>
    <s v="134.00K"/>
    <x v="181"/>
    <n v="3876.4319999999993"/>
    <n v="4.8098708550008591E-3"/>
    <x v="2"/>
  </r>
  <r>
    <d v="2023-10-09T00:00:00"/>
    <n v="3894.63"/>
    <n v="3870.67"/>
    <n v="3911.61"/>
    <n v="3870.67"/>
    <s v="142.42K"/>
    <x v="182"/>
    <n v="3878.9824999999996"/>
    <n v="4.971022246858919E-3"/>
    <x v="2"/>
  </r>
  <r>
    <d v="2023-10-10T00:00:00"/>
    <n v="3865.47"/>
    <n v="3887.55"/>
    <n v="3897.46"/>
    <n v="3850.47"/>
    <s v="145.56K"/>
    <x v="183"/>
    <n v="3879.0639999999999"/>
    <n v="5.7107939583633891E-3"/>
    <x v="2"/>
  </r>
  <r>
    <d v="2023-10-11T00:00:00"/>
    <n v="3885.25"/>
    <n v="3877.8"/>
    <n v="3894.65"/>
    <n v="3871.99"/>
    <s v="136.31K"/>
    <x v="184"/>
    <n v="3880.3209999999999"/>
    <n v="5.4455785954378522E-3"/>
    <x v="2"/>
  </r>
  <r>
    <d v="2023-10-12T00:00:00"/>
    <n v="3873.98"/>
    <n v="3878.1"/>
    <n v="3889.46"/>
    <n v="3869.39"/>
    <s v="110.99K"/>
    <x v="185"/>
    <n v="3878.3665000000001"/>
    <n v="5.9173544474759397E-3"/>
    <x v="2"/>
  </r>
  <r>
    <d v="2023-10-13T00:00:00"/>
    <n v="3877.56"/>
    <n v="3872.64"/>
    <n v="3883.13"/>
    <n v="3861.27"/>
    <s v="122.88K"/>
    <x v="186"/>
    <n v="3877.3124999999991"/>
    <n v="5.9090022496459289E-3"/>
    <x v="2"/>
  </r>
  <r>
    <d v="2023-10-16T00:00:00"/>
    <n v="3868.74"/>
    <n v="3855.49"/>
    <n v="3875.86"/>
    <n v="3855.49"/>
    <s v="116.80K"/>
    <x v="187"/>
    <n v="3875.0159999999996"/>
    <n v="6.0160028797668023E-3"/>
    <x v="2"/>
  </r>
  <r>
    <d v="2023-10-17T00:00:00"/>
    <n v="3852.01"/>
    <n v="3833.46"/>
    <n v="3863.3"/>
    <n v="3832.72"/>
    <s v="131.40K"/>
    <x v="188"/>
    <n v="3872.0059999999999"/>
    <n v="6.1290967397152028E-3"/>
    <x v="2"/>
  </r>
  <r>
    <d v="2023-10-18T00:00:00"/>
    <n v="3840.23"/>
    <n v="3850.49"/>
    <n v="3858.61"/>
    <n v="3829.25"/>
    <s v="111.67K"/>
    <x v="189"/>
    <n v="3867.9340000000002"/>
    <n v="6.4244737029850816E-3"/>
    <x v="2"/>
  </r>
  <r>
    <d v="2023-10-19T00:00:00"/>
    <n v="3858.7"/>
    <n v="3838.01"/>
    <n v="3869.79"/>
    <n v="3831.46"/>
    <s v="108.47K"/>
    <x v="190"/>
    <n v="3864.6765000000005"/>
    <n v="6.4248522789873627E-3"/>
    <x v="2"/>
  </r>
  <r>
    <d v="2023-10-20T00:00:00"/>
    <n v="3836.24"/>
    <n v="3843.07"/>
    <n v="3849.74"/>
    <n v="3833.96"/>
    <s v="89.03K"/>
    <x v="191"/>
    <n v="3860.8224999999998"/>
    <n v="6.3185155468197234E-3"/>
    <x v="2"/>
  </r>
  <r>
    <d v="2023-10-23T00:00:00"/>
    <n v="3839.4"/>
    <n v="3857.63"/>
    <n v="3865.43"/>
    <n v="3834.85"/>
    <s v="98.57K"/>
    <x v="192"/>
    <n v="3858.3600000000006"/>
    <n v="6.2339996940922095E-3"/>
    <x v="2"/>
  </r>
  <r>
    <d v="2023-10-24T00:00:00"/>
    <n v="3860.11"/>
    <n v="3875.79"/>
    <n v="3884.54"/>
    <n v="3849.04"/>
    <s v="109.60K"/>
    <x v="193"/>
    <n v="3855.6080000000002"/>
    <n v="6.224636653318758E-3"/>
    <x v="2"/>
  </r>
  <r>
    <d v="2023-10-25T00:00:00"/>
    <n v="3882.27"/>
    <n v="3910.37"/>
    <n v="3931.55"/>
    <n v="3882.27"/>
    <s v="120.28K"/>
    <x v="194"/>
    <n v="3851.9465000000005"/>
    <n v="6.0687085768046925E-3"/>
    <x v="2"/>
  </r>
  <r>
    <d v="2023-10-26T00:00:00"/>
    <n v="3913.86"/>
    <n v="3912.6"/>
    <n v="3923.02"/>
    <n v="3903.09"/>
    <s v="107.60K"/>
    <x v="195"/>
    <n v="3847.0304999999998"/>
    <n v="5.862604800074462E-3"/>
    <x v="2"/>
  </r>
  <r>
    <d v="2023-10-27T00:00:00"/>
    <n v="3916.38"/>
    <n v="3899.44"/>
    <n v="3928.63"/>
    <n v="3899.44"/>
    <s v="109.79K"/>
    <x v="196"/>
    <n v="3840.5815000000002"/>
    <n v="5.4473447203258812E-3"/>
    <x v="2"/>
  </r>
  <r>
    <d v="2023-10-30T00:00:00"/>
    <n v="3898.17"/>
    <n v="3883.1"/>
    <n v="3911.47"/>
    <n v="3881.74"/>
    <s v="104.89K"/>
    <x v="197"/>
    <n v="3833.3885"/>
    <n v="5.4304409375212654E-3"/>
    <x v="2"/>
  </r>
  <r>
    <d v="2023-10-31T00:00:00"/>
    <n v="3877.15"/>
    <n v="3882.57"/>
    <n v="3885.59"/>
    <n v="3866.57"/>
    <s v="98.64K"/>
    <x v="198"/>
    <n v="3827.0910000000003"/>
    <n v="5.4027559779374519E-3"/>
    <x v="2"/>
  </r>
  <r>
    <d v="2023-11-01T00:00:00"/>
    <n v="3889.09"/>
    <n v="3898.67"/>
    <n v="3903.85"/>
    <n v="3874.86"/>
    <s v="118.41K"/>
    <x v="199"/>
    <n v="3821.8745000000004"/>
    <n v="5.3413810001668154E-3"/>
    <x v="2"/>
  </r>
  <r>
    <d v="2023-11-02T00:00:00"/>
    <n v="3907.2"/>
    <n v="3934.03"/>
    <n v="3936.47"/>
    <n v="3904.91"/>
    <s v="138.08K"/>
    <x v="200"/>
    <n v="3815.4815000000003"/>
    <n v="5.2492430516017157E-3"/>
    <x v="2"/>
  </r>
  <r>
    <d v="2023-11-03T00:00:00"/>
    <n v="3943.21"/>
    <n v="3894.84"/>
    <n v="3960.52"/>
    <n v="3890.65"/>
    <s v="172.03K"/>
    <x v="201"/>
    <n v="3808.0784999999996"/>
    <n v="5.0446947971019701E-3"/>
    <x v="2"/>
  </r>
  <r>
    <d v="2023-11-06T00:00:00"/>
    <n v="3896.26"/>
    <n v="3915.59"/>
    <n v="3915.59"/>
    <n v="3890.69"/>
    <s v="147.32K"/>
    <x v="202"/>
    <n v="3798.4439999999995"/>
    <n v="4.3108472685658011E-3"/>
    <x v="2"/>
  </r>
  <r>
    <d v="2023-11-07T00:00:00"/>
    <n v="3890.61"/>
    <n v="3866.53"/>
    <n v="3890.73"/>
    <n v="3859.03"/>
    <s v="153.33K"/>
    <x v="203"/>
    <n v="3790.3864999999996"/>
    <n v="3.7278510515554256E-3"/>
    <x v="2"/>
  </r>
  <r>
    <d v="2023-11-08T00:00:00"/>
    <n v="3846.16"/>
    <n v="3848.62"/>
    <n v="3853.66"/>
    <n v="3836.53"/>
    <s v="119.39K"/>
    <x v="204"/>
    <n v="3780.1954999999994"/>
    <n v="4.4389622705042252E-3"/>
    <x v="2"/>
  </r>
  <r>
    <d v="2023-11-09T00:00:00"/>
    <n v="3852.9"/>
    <n v="3820.55"/>
    <n v="3867.33"/>
    <n v="3816.26"/>
    <s v="124.96K"/>
    <x v="205"/>
    <n v="3770.4254999999989"/>
    <n v="4.2801328972843656E-3"/>
    <x v="2"/>
  </r>
  <r>
    <d v="2023-11-10T00:00:00"/>
    <n v="3831.63"/>
    <n v="3861.58"/>
    <n v="3863.68"/>
    <n v="3814.99"/>
    <s v="161.17K"/>
    <x v="206"/>
    <n v="3757.2524999999996"/>
    <n v="5.1994765533250661E-3"/>
    <x v="2"/>
  </r>
  <r>
    <d v="2023-11-13T00:00:00"/>
    <n v="3808.54"/>
    <n v="3794.38"/>
    <n v="3809.09"/>
    <n v="3782.78"/>
    <s v="158.52K"/>
    <x v="207"/>
    <n v="3758.7460000000001"/>
    <n v="1.8453667073390752E-2"/>
    <x v="3"/>
  </r>
  <r>
    <d v="2023-11-14T00:00:00"/>
    <n v="3770.57"/>
    <n v="3775.83"/>
    <n v="3787.56"/>
    <n v="3768.76"/>
    <s v="143.68K"/>
    <x v="208"/>
    <n v="3762.5385000000001"/>
    <n v="1.8423247115749601E-2"/>
    <x v="3"/>
  </r>
  <r>
    <d v="2023-11-15T00:00:00"/>
    <n v="3775.08"/>
    <n v="3776"/>
    <n v="3785.32"/>
    <n v="3768.03"/>
    <s v="111.52K"/>
    <x v="209"/>
    <n v="3768.3939999999993"/>
    <n v="1.8237742910232571E-2"/>
    <x v="3"/>
  </r>
  <r>
    <d v="2023-11-16T00:00:00"/>
    <n v="3781.62"/>
    <n v="3786.39"/>
    <n v="3792.01"/>
    <n v="3772.8"/>
    <s v="125.15K"/>
    <x v="210"/>
    <n v="3774.0055000000002"/>
    <n v="1.8241838714253292E-2"/>
    <x v="3"/>
  </r>
  <r>
    <d v="2023-11-17T00:00:00"/>
    <n v="3786.99"/>
    <n v="3792.08"/>
    <n v="3801.58"/>
    <n v="3780.78"/>
    <s v="124.59K"/>
    <x v="211"/>
    <n v="3780.683"/>
    <n v="1.8284068101160206E-2"/>
    <x v="3"/>
  </r>
  <r>
    <d v="2023-11-20T00:00:00"/>
    <n v="3784.36"/>
    <n v="3787.46"/>
    <n v="3807.26"/>
    <n v="3775.21"/>
    <s v="117.17K"/>
    <x v="212"/>
    <n v="3787.9540000000002"/>
    <n v="1.8292207223139612E-2"/>
    <x v="3"/>
  </r>
  <r>
    <d v="2023-11-21T00:00:00"/>
    <n v="3786.88"/>
    <n v="3803.43"/>
    <n v="3807.95"/>
    <n v="3780.52"/>
    <s v="131.99K"/>
    <x v="213"/>
    <n v="3794.7040000000002"/>
    <n v="1.8322226756467899E-2"/>
    <x v="3"/>
  </r>
  <r>
    <d v="2023-11-22T00:00:00"/>
    <n v="3783.95"/>
    <n v="3780.11"/>
    <n v="3799.23"/>
    <n v="3778.08"/>
    <s v="125.69K"/>
    <x v="214"/>
    <n v="3801.9749999999999"/>
    <n v="1.832230794806293E-2"/>
    <x v="3"/>
  </r>
  <r>
    <d v="2023-11-23T00:00:00"/>
    <n v="3784.88"/>
    <n v="3768.14"/>
    <n v="3790.18"/>
    <n v="3763.14"/>
    <s v="121.36K"/>
    <x v="215"/>
    <n v="3809.5200000000004"/>
    <n v="1.8313575215106549E-2"/>
    <x v="3"/>
  </r>
  <r>
    <d v="2023-11-24T00:00:00"/>
    <n v="3772.52"/>
    <n v="3760.04"/>
    <n v="3782.04"/>
    <n v="3754.41"/>
    <s v="102.95K"/>
    <x v="216"/>
    <n v="3816.011"/>
    <n v="1.8381518736973985E-2"/>
    <x v="3"/>
  </r>
  <r>
    <d v="2023-11-27T00:00:00"/>
    <n v="3772.22"/>
    <n v="3755.09"/>
    <n v="3779.13"/>
    <n v="3749.5"/>
    <s v="122.37K"/>
    <x v="217"/>
    <n v="3826.134500000001"/>
    <n v="1.8581359102881657E-2"/>
    <x v="3"/>
  </r>
  <r>
    <d v="2023-11-28T00:00:00"/>
    <n v="3772.82"/>
    <n v="3757.88"/>
    <n v="3775.17"/>
    <n v="3721.6"/>
    <s v="156.36K"/>
    <x v="218"/>
    <n v="3838.0320000000002"/>
    <n v="1.8616412559438657E-2"/>
    <x v="3"/>
  </r>
  <r>
    <d v="2023-11-29T00:00:00"/>
    <n v="3761.23"/>
    <n v="3756.48"/>
    <n v="3764.49"/>
    <n v="3737.85"/>
    <s v="134.01K"/>
    <x v="219"/>
    <n v="3849.7769999999996"/>
    <n v="1.862387397159149E-2"/>
    <x v="3"/>
  </r>
  <r>
    <d v="2023-11-30T00:00:00"/>
    <n v="3759.14"/>
    <n v="3772.04"/>
    <n v="3776.63"/>
    <n v="3754.03"/>
    <s v="164.46K"/>
    <x v="220"/>
    <n v="3861.5549999999989"/>
    <n v="1.8617938755689779E-2"/>
    <x v="3"/>
  </r>
  <r>
    <d v="2023-12-01T00:00:00"/>
    <n v="3750.52"/>
    <n v="3730.31"/>
    <n v="3762.37"/>
    <n v="3708.46"/>
    <s v="168.76K"/>
    <x v="221"/>
    <n v="3873.9259999999995"/>
    <n v="1.859816006235554E-2"/>
    <x v="3"/>
  </r>
  <r>
    <d v="2023-12-04T00:00:00"/>
    <n v="3735.11"/>
    <n v="3749.13"/>
    <n v="3756.14"/>
    <n v="3708.82"/>
    <s v="227.25K"/>
    <x v="222"/>
    <n v="3881.9789999999994"/>
    <n v="1.9532985858172855E-2"/>
    <x v="3"/>
  </r>
  <r>
    <d v="2023-12-05T00:00:00"/>
    <n v="3686.79"/>
    <n v="3606.1"/>
    <n v="3686.79"/>
    <n v="3587.34"/>
    <s v="262.31K"/>
    <x v="223"/>
    <n v="3891.5849999999991"/>
    <n v="1.9477486214059803E-2"/>
    <x v="3"/>
  </r>
  <r>
    <d v="2023-12-06T00:00:00"/>
    <n v="3650.76"/>
    <n v="3597.99"/>
    <n v="3650.76"/>
    <n v="3583.87"/>
    <s v="280.20K"/>
    <x v="224"/>
    <n v="3904.3164999999995"/>
    <n v="1.9127279634096755E-2"/>
    <x v="3"/>
  </r>
  <r>
    <d v="2023-12-07T00:00:00"/>
    <n v="3589.44"/>
    <n v="3675.2"/>
    <n v="3707.78"/>
    <n v="3514.12"/>
    <s v="312.58K"/>
    <x v="225"/>
    <n v="3918.218499999999"/>
    <n v="1.8942613864949602E-2"/>
    <x v="3"/>
  </r>
  <r>
    <d v="2023-12-08T00:00:00"/>
    <n v="3861.5"/>
    <n v="3843.42"/>
    <n v="3883.7"/>
    <n v="3843.42"/>
    <s v="142.60K"/>
    <x v="226"/>
    <n v="3935.9469999999992"/>
    <n v="1.831071243182205E-2"/>
    <x v="3"/>
  </r>
  <r>
    <d v="2023-12-11T00:00:00"/>
    <n v="3884.39"/>
    <n v="3884.42"/>
    <n v="3900.49"/>
    <n v="3877.16"/>
    <s v="113.04K"/>
    <x v="227"/>
    <n v="3940.6840000000002"/>
    <n v="7.5380980044887592E-3"/>
    <x v="2"/>
  </r>
  <r>
    <d v="2023-12-12T00:00:00"/>
    <n v="3887.68"/>
    <n v="3892.78"/>
    <n v="3905.26"/>
    <n v="3882.4"/>
    <s v="140.38K"/>
    <x v="228"/>
    <n v="3941.5929999999998"/>
    <n v="8.1365595030632801E-3"/>
    <x v="2"/>
  </r>
  <r>
    <d v="2023-12-13T00:00:00"/>
    <n v="3887.31"/>
    <n v="3905.98"/>
    <n v="3928.45"/>
    <n v="3872.4"/>
    <s v="166.80K"/>
    <x v="229"/>
    <n v="3941.4700000000003"/>
    <n v="8.202445166266956E-3"/>
    <x v="2"/>
  </r>
  <r>
    <d v="2023-12-14T00:00:00"/>
    <n v="3915.17"/>
    <n v="3930.78"/>
    <n v="3934.23"/>
    <n v="3907.38"/>
    <s v="126.36K"/>
    <x v="230"/>
    <n v="3941.5280000000007"/>
    <n v="8.2045185743985713E-3"/>
    <x v="2"/>
  </r>
  <r>
    <d v="2023-12-15T00:00:00"/>
    <n v="3932.41"/>
    <n v="3911.38"/>
    <n v="3952.99"/>
    <n v="3903.65"/>
    <s v="126.79K"/>
    <x v="231"/>
    <n v="3940.2720000000008"/>
    <n v="8.0332212643737539E-3"/>
    <x v="2"/>
  </r>
  <r>
    <d v="2023-12-18T00:00:00"/>
    <n v="3919.36"/>
    <n v="3930.21"/>
    <n v="3942.03"/>
    <n v="3916.86"/>
    <s v="131.16K"/>
    <x v="232"/>
    <n v="3942.0574999999999"/>
    <n v="9.1948103491795961E-3"/>
    <x v="2"/>
  </r>
  <r>
    <d v="2023-12-19T00:00:00"/>
    <n v="3932.3"/>
    <n v="3937.9"/>
    <n v="3946.36"/>
    <n v="3921.53"/>
    <s v="140.48K"/>
    <x v="233"/>
    <n v="3944.0865000000003"/>
    <n v="9.171654971486096E-3"/>
    <x v="2"/>
  </r>
  <r>
    <d v="2023-12-20T00:00:00"/>
    <n v="3934.85"/>
    <n v="3916.11"/>
    <n v="3938.18"/>
    <n v="3907.2"/>
    <s v="152.24K"/>
    <x v="234"/>
    <n v="3943.7539999999999"/>
    <n v="9.3709402805961448E-3"/>
    <x v="2"/>
  </r>
  <r>
    <d v="2023-12-21T00:00:00"/>
    <n v="3914.7"/>
    <n v="3966.51"/>
    <n v="3983.15"/>
    <n v="3904.77"/>
    <s v="165.91K"/>
    <x v="235"/>
    <n v="3945.4975000000004"/>
    <n v="9.7045678445751259E-3"/>
    <x v="3"/>
  </r>
  <r>
    <d v="2023-12-22T00:00:00"/>
    <n v="3974.99"/>
    <n v="4011.06"/>
    <n v="4012.04"/>
    <n v="3969.93"/>
    <s v="133.76K"/>
    <x v="236"/>
    <n v="3948.6845000000003"/>
    <n v="9.6196207628257493E-3"/>
    <x v="3"/>
  </r>
  <r>
    <d v="2023-12-25T00:00:00"/>
    <n v="4010.17"/>
    <n v="4004.83"/>
    <n v="4025.3"/>
    <n v="3989.51"/>
    <s v="144.42K"/>
    <x v="237"/>
    <n v="3946.38"/>
    <n v="9.4165010711051746E-3"/>
    <x v="2"/>
  </r>
  <r>
    <d v="2023-12-26T00:00:00"/>
    <n v="4007.72"/>
    <n v="4011.78"/>
    <n v="4016.87"/>
    <n v="3995.96"/>
    <s v="140.21K"/>
    <x v="238"/>
    <n v="3942.8795000000005"/>
    <n v="9.1948555106797798E-3"/>
    <x v="2"/>
  </r>
  <r>
    <d v="2023-12-27T00:00:00"/>
    <n v="3996.79"/>
    <n v="4020.64"/>
    <n v="4021.73"/>
    <n v="3992.26"/>
    <s v="162.20K"/>
    <x v="239"/>
    <n v="3938.1325000000006"/>
    <n v="9.295219463890116E-3"/>
    <x v="2"/>
  </r>
  <r>
    <d v="2023-12-28T00:00:00"/>
    <n v="4006.56"/>
    <n v="3919.62"/>
    <n v="4014.16"/>
    <n v="3919.62"/>
    <s v="216.14K"/>
    <x v="240"/>
    <n v="3935.6630000000005"/>
    <n v="9.549183659785819E-3"/>
    <x v="3"/>
  </r>
  <r>
    <d v="2023-12-29T00:00:00"/>
    <n v="3911.58"/>
    <n v="3925.74"/>
    <n v="3939.29"/>
    <n v="3897.38"/>
    <s v="156.54K"/>
    <x v="241"/>
    <n v="3932.2855000000004"/>
    <n v="9.5277034984813849E-3"/>
    <x v="3"/>
  </r>
  <r>
    <d v="2024-01-02T00:00:00"/>
    <n v="3927.23"/>
    <n v="3946.86"/>
    <n v="3953.61"/>
    <n v="3921.47"/>
    <s v="156.73K"/>
    <x v="242"/>
    <n v="3931.9635000000003"/>
    <n v="8.1100346698718372E-3"/>
    <x v="2"/>
  </r>
  <r>
    <d v="2024-01-03T00:00:00"/>
    <n v="3941.42"/>
    <n v="3890.43"/>
    <n v="3941.42"/>
    <n v="3889.43"/>
    <s v="144.75K"/>
    <x v="243"/>
    <n v="3931.5949999999998"/>
    <n v="8.1041086715095828E-3"/>
    <x v="2"/>
  </r>
  <r>
    <d v="2024-01-04T00:00:00"/>
    <n v="3928.8"/>
    <n v="3945.58"/>
    <n v="3949.14"/>
    <n v="3905.13"/>
    <s v="152.77K"/>
    <x v="244"/>
    <n v="3928.6810000000005"/>
    <n v="8.3113671050041582E-3"/>
    <x v="2"/>
  </r>
  <r>
    <d v="2024-01-05T00:00:00"/>
    <n v="3944.01"/>
    <n v="3944.91"/>
    <n v="3967.07"/>
    <n v="3935.05"/>
    <s v="166.73K"/>
    <x v="245"/>
    <n v="3927.2940000000003"/>
    <n v="8.3716799547038489E-3"/>
    <x v="2"/>
  </r>
  <r>
    <d v="2024-01-08T00:00:00"/>
    <n v="3956.24"/>
    <n v="3923.38"/>
    <n v="3964.49"/>
    <n v="3917.08"/>
    <s v="193.96K"/>
    <x v="246"/>
    <n v="3924.7284999999997"/>
    <n v="8.3210267201632611E-3"/>
    <x v="2"/>
  </r>
  <r>
    <d v="2024-01-09T00:00:00"/>
    <n v="3902.57"/>
    <n v="3887.8"/>
    <n v="3906.42"/>
    <n v="3877.02"/>
    <s v="158.65K"/>
    <x v="247"/>
    <n v="3919.058"/>
    <n v="8.6985026850134733E-3"/>
    <x v="2"/>
  </r>
  <r>
    <d v="2024-01-10T00:00:00"/>
    <n v="3885.22"/>
    <n v="3865.99"/>
    <n v="3890.42"/>
    <n v="3855.73"/>
    <s v="149.85K"/>
    <x v="248"/>
    <n v="3913.6835000000001"/>
    <n v="8.6180564642828836E-3"/>
    <x v="2"/>
  </r>
  <r>
    <d v="2024-01-11T00:00:00"/>
    <n v="3888.47"/>
    <n v="3899.7"/>
    <n v="3930"/>
    <n v="3872.59"/>
    <s v="177.62K"/>
    <x v="249"/>
    <n v="3910.2764999999999"/>
    <n v="8.7286824290257053E-3"/>
    <x v="2"/>
  </r>
  <r>
    <d v="2024-01-12T00:00:00"/>
    <n v="3890.05"/>
    <n v="3950.19"/>
    <n v="3972.48"/>
    <n v="3886.4"/>
    <s v="198.10K"/>
    <x v="250"/>
    <n v="3907.4960000000001"/>
    <n v="8.7930857569849859E-3"/>
    <x v="2"/>
  </r>
  <r>
    <d v="2024-01-15T00:00:00"/>
    <n v="3968.12"/>
    <n v="3961.06"/>
    <n v="3973.93"/>
    <n v="3933.46"/>
    <s v="202.89K"/>
    <x v="251"/>
    <n v="3903.1804999999999"/>
    <n v="8.9220722274133326E-3"/>
    <x v="2"/>
  </r>
  <r>
    <d v="2024-01-16T00:00:00"/>
    <n v="3959.94"/>
    <n v="3931.84"/>
    <n v="3960.33"/>
    <n v="3925.37"/>
    <s v="191.06K"/>
    <x v="252"/>
    <n v="3894.6255000000006"/>
    <n v="7.4043248778997749E-3"/>
    <x v="2"/>
  </r>
  <r>
    <d v="2024-01-17T00:00:00"/>
    <n v="3925.65"/>
    <n v="3933.64"/>
    <n v="3955.43"/>
    <n v="3915.65"/>
    <s v="178.11K"/>
    <x v="253"/>
    <n v="3888.2590000000005"/>
    <n v="7.8420999018237354E-3"/>
    <x v="2"/>
  </r>
  <r>
    <d v="2024-01-18T00:00:00"/>
    <n v="3969.72"/>
    <n v="3972.48"/>
    <n v="3995.95"/>
    <n v="3949.23"/>
    <s v="220.81K"/>
    <x v="254"/>
    <n v="3883.4605000000001"/>
    <n v="7.6649485295596049E-3"/>
    <x v="2"/>
  </r>
  <r>
    <d v="2024-01-19T00:00:00"/>
    <n v="3978.44"/>
    <n v="3938.05"/>
    <n v="3981.05"/>
    <n v="3927.79"/>
    <s v="227.40K"/>
    <x v="255"/>
    <n v="3875.5914999999995"/>
    <n v="7.1091296875763089E-3"/>
    <x v="2"/>
  </r>
  <r>
    <d v="2024-01-22T00:00:00"/>
    <n v="3928.9"/>
    <n v="3934.65"/>
    <n v="3940.68"/>
    <n v="3916.18"/>
    <s v="163.90K"/>
    <x v="256"/>
    <n v="3866.6884999999993"/>
    <n v="7.0432908868016744E-3"/>
    <x v="2"/>
  </r>
  <r>
    <d v="2024-01-23T00:00:00"/>
    <n v="3940.16"/>
    <n v="3906.22"/>
    <n v="3943.67"/>
    <n v="3904.15"/>
    <s v="182.83K"/>
    <x v="257"/>
    <n v="3860.0449999999996"/>
    <n v="6.6237025783800604E-3"/>
    <x v="2"/>
  </r>
  <r>
    <d v="2024-01-24T00:00:00"/>
    <n v="3912.78"/>
    <n v="3942.58"/>
    <n v="3965.42"/>
    <n v="3901.87"/>
    <s v="209.43K"/>
    <x v="258"/>
    <n v="3854.0639999999999"/>
    <n v="6.8002309038672354E-3"/>
    <x v="2"/>
  </r>
  <r>
    <d v="2024-01-25T00:00:00"/>
    <n v="3947.4"/>
    <n v="3954.41"/>
    <n v="3955.9"/>
    <n v="3921.7"/>
    <s v="213.59K"/>
    <x v="259"/>
    <n v="3844.5504999999998"/>
    <n v="8.6279324804788005E-3"/>
    <x v="2"/>
  </r>
  <r>
    <d v="2024-01-26T00:00:00"/>
    <n v="3939.01"/>
    <n v="3900.83"/>
    <n v="3942.04"/>
    <n v="3900.83"/>
    <s v="172.98K"/>
    <x v="260"/>
    <n v="3833.8044999999993"/>
    <n v="8.3069078081346812E-3"/>
    <x v="2"/>
  </r>
  <r>
    <d v="2024-01-29T00:00:00"/>
    <n v="3905.14"/>
    <n v="3913.9"/>
    <n v="3939.2"/>
    <n v="3904.98"/>
    <s v="172.49K"/>
    <x v="261"/>
    <n v="3825.8479999999995"/>
    <n v="8.9992867700292387E-3"/>
    <x v="2"/>
  </r>
  <r>
    <d v="2024-01-30T00:00:00"/>
    <n v="3919.86"/>
    <n v="3875.96"/>
    <n v="3920.72"/>
    <n v="3867.35"/>
    <s v="164.23K"/>
    <x v="262"/>
    <n v="3820.0520000000006"/>
    <n v="8.9134511756412283E-3"/>
    <x v="2"/>
  </r>
  <r>
    <d v="2024-01-31T00:00:00"/>
    <n v="3883.14"/>
    <n v="3905.16"/>
    <n v="3905.16"/>
    <n v="3872.91"/>
    <s v="166.58K"/>
    <x v="263"/>
    <n v="3813.8645000000006"/>
    <n v="8.8636564349785802E-3"/>
    <x v="2"/>
  </r>
  <r>
    <d v="2024-02-01T00:00:00"/>
    <n v="3901.06"/>
    <n v="3898.1"/>
    <n v="3906.37"/>
    <n v="3878.83"/>
    <s v="188.90K"/>
    <x v="264"/>
    <n v="3808.1559999999999"/>
    <n v="8.7743106745016425E-3"/>
    <x v="2"/>
  </r>
  <r>
    <d v="2024-02-02T00:00:00"/>
    <n v="3892.7"/>
    <n v="3844.06"/>
    <n v="3919.35"/>
    <n v="3833.87"/>
    <s v="221.86K"/>
    <x v="265"/>
    <n v="3801.8609999999999"/>
    <n v="8.6908785351673748E-3"/>
    <x v="2"/>
  </r>
  <r>
    <d v="2024-02-05T00:00:00"/>
    <n v="3842.83"/>
    <n v="3789.61"/>
    <n v="3843.49"/>
    <n v="3788.32"/>
    <s v="167.29K"/>
    <x v="266"/>
    <n v="3798.2460000000001"/>
    <n v="9.2035931657913905E-3"/>
    <x v="2"/>
  </r>
  <r>
    <d v="2024-02-06T00:00:00"/>
    <n v="3795.08"/>
    <n v="3844.7"/>
    <n v="3844.7"/>
    <n v="3785.16"/>
    <s v="157.17K"/>
    <x v="267"/>
    <n v="3802.85"/>
    <n v="1.1071238227771644E-2"/>
    <x v="3"/>
  </r>
  <r>
    <d v="2024-02-07T00:00:00"/>
    <n v="3817.08"/>
    <n v="3836.96"/>
    <n v="3852"/>
    <n v="3817.08"/>
    <s v="146.67K"/>
    <x v="268"/>
    <n v="3813.0485000000008"/>
    <n v="1.1068008465719393E-2"/>
    <x v="3"/>
  </r>
  <r>
    <d v="2024-02-08T00:00:00"/>
    <n v="3832.86"/>
    <n v="3793.85"/>
    <n v="3847.6"/>
    <n v="3793.48"/>
    <s v="148.97K"/>
    <x v="269"/>
    <n v="3821.2460000000001"/>
    <n v="1.1154683363279632E-2"/>
    <x v="3"/>
  </r>
  <r>
    <d v="2024-02-19T00:00:00"/>
    <n v="3803.74"/>
    <n v="3829.05"/>
    <n v="3864.26"/>
    <n v="3801.85"/>
    <s v="180.57K"/>
    <x v="270"/>
    <n v="3828.9769999999999"/>
    <n v="1.1145474437451862E-2"/>
    <x v="3"/>
  </r>
  <r>
    <d v="2024-02-20T00:00:00"/>
    <n v="3797.02"/>
    <n v="3823.94"/>
    <n v="3823.94"/>
    <n v="3783.14"/>
    <s v="137.26K"/>
    <x v="271"/>
    <n v="3838.0715000000005"/>
    <n v="1.0933003673149689E-2"/>
    <x v="3"/>
  </r>
  <r>
    <d v="2024-02-21T00:00:00"/>
    <n v="3832.61"/>
    <n v="3850.36"/>
    <n v="3850.91"/>
    <n v="3817.12"/>
    <s v="141.22K"/>
    <x v="272"/>
    <n v="3847.4050000000002"/>
    <n v="1.091108583548394E-2"/>
    <x v="3"/>
  </r>
  <r>
    <d v="2024-02-22T00:00:00"/>
    <n v="3829.68"/>
    <n v="3835.3"/>
    <n v="3858.67"/>
    <n v="3821.98"/>
    <s v="139.58K"/>
    <x v="273"/>
    <n v="3852.4530000000004"/>
    <n v="1.1277093949930829E-2"/>
    <x v="3"/>
  </r>
  <r>
    <d v="2024-02-23T00:00:00"/>
    <n v="3812.34"/>
    <n v="3788.37"/>
    <n v="3831.64"/>
    <n v="3780.21"/>
    <s v="126.62K"/>
    <x v="274"/>
    <n v="3857.3560000000011"/>
    <n v="1.128535186176572E-2"/>
    <x v="3"/>
  </r>
  <r>
    <d v="2024-02-26T00:00:00"/>
    <n v="3800.38"/>
    <n v="3812.19"/>
    <n v="3842.95"/>
    <n v="3776.29"/>
    <s v="144.51K"/>
    <x v="275"/>
    <n v="3864.0120000000011"/>
    <n v="1.1219420117261673E-2"/>
    <x v="3"/>
  </r>
  <r>
    <d v="2024-02-27T00:00:00"/>
    <n v="3796.03"/>
    <n v="3810.04"/>
    <n v="3816.83"/>
    <n v="3790.17"/>
    <s v="141.48K"/>
    <x v="276"/>
    <n v="3871.0875000000015"/>
    <n v="1.1178986899357419E-2"/>
    <x v="3"/>
  </r>
  <r>
    <d v="2024-02-28T00:00:00"/>
    <n v="3820.54"/>
    <n v="3728.56"/>
    <n v="3826.64"/>
    <n v="3718.88"/>
    <s v="170.67K"/>
    <x v="277"/>
    <n v="3877.3875000000007"/>
    <n v="1.1268141453181651E-2"/>
    <x v="3"/>
  </r>
  <r>
    <d v="2024-02-29T00:00:00"/>
    <n v="3722.51"/>
    <n v="3704.44"/>
    <n v="3737.89"/>
    <n v="3704.11"/>
    <s v="136.45K"/>
    <x v="278"/>
    <n v="3881.9525000000003"/>
    <n v="1.1248606085059223E-2"/>
    <x v="3"/>
  </r>
  <r>
    <d v="2024-03-01T00:00:00"/>
    <n v="3732.48"/>
    <n v="3778.89"/>
    <n v="3786.81"/>
    <n v="3732.48"/>
    <s v="137.52K"/>
    <x v="279"/>
    <n v="3892.4859999999994"/>
    <n v="9.3184257516872471E-3"/>
    <x v="2"/>
  </r>
  <r>
    <d v="2024-03-04T00:00:00"/>
    <n v="3779.88"/>
    <n v="3780.73"/>
    <n v="3795.26"/>
    <n v="3768.68"/>
    <s v="129.79K"/>
    <x v="280"/>
    <n v="3907.2869999999994"/>
    <n v="1.0478437471315844E-2"/>
    <x v="3"/>
  </r>
  <r>
    <d v="2024-03-05T00:00:00"/>
    <n v="3789.22"/>
    <n v="3781.26"/>
    <n v="3810.74"/>
    <n v="3731.19"/>
    <s v="169.17K"/>
    <x v="281"/>
    <n v="3917.7344999999996"/>
    <n v="1.0689811884502996E-2"/>
    <x v="3"/>
  </r>
  <r>
    <d v="2024-03-06T00:00:00"/>
    <n v="3796.11"/>
    <n v="3760.87"/>
    <n v="3797.6"/>
    <n v="3749.06"/>
    <s v="146.46K"/>
    <x v="282"/>
    <n v="3928.0554999999995"/>
    <n v="1.0692215877147531E-2"/>
    <x v="3"/>
  </r>
  <r>
    <d v="2024-03-07T00:00:00"/>
    <n v="3768.97"/>
    <n v="3775.99"/>
    <n v="3788.85"/>
    <n v="3743.07"/>
    <s v="150.95K"/>
    <x v="283"/>
    <n v="3936.5785000000005"/>
    <n v="1.0922971401020507E-2"/>
    <x v="3"/>
  </r>
  <r>
    <d v="2024-03-08T00:00:00"/>
    <n v="3775.16"/>
    <n v="3825.24"/>
    <n v="3835.94"/>
    <n v="3767.67"/>
    <s v="175.34K"/>
    <x v="284"/>
    <n v="3946.7869999999994"/>
    <n v="1.0699132585692534E-2"/>
    <x v="3"/>
  </r>
  <r>
    <d v="2024-03-11T00:00:00"/>
    <n v="3820.4"/>
    <n v="3931.82"/>
    <n v="3934.2"/>
    <n v="3796.34"/>
    <s v="217.90K"/>
    <x v="285"/>
    <n v="3954.1085000000007"/>
    <n v="1.1259393006489572E-2"/>
    <x v="3"/>
  </r>
  <r>
    <d v="2024-03-12T00:00:00"/>
    <n v="3934.91"/>
    <n v="3995.87"/>
    <n v="4004.35"/>
    <n v="3934.91"/>
    <s v="183.93K"/>
    <x v="286"/>
    <n v="3959.6164999999992"/>
    <n v="1.1011285274994473E-2"/>
    <x v="3"/>
  </r>
  <r>
    <d v="2024-03-13T00:00:00"/>
    <n v="3999.05"/>
    <n v="3976.7"/>
    <n v="4005.78"/>
    <n v="3976.7"/>
    <s v="164.61K"/>
    <x v="287"/>
    <n v="3960.4654999999993"/>
    <n v="8.8176572643256998E-3"/>
    <x v="2"/>
  </r>
  <r>
    <d v="2024-03-14T00:00:00"/>
    <n v="3981.03"/>
    <n v="3987.02"/>
    <n v="4007.13"/>
    <n v="3970.94"/>
    <s v="169.27K"/>
    <x v="288"/>
    <n v="3957.8944999999999"/>
    <n v="7.9683406406536803E-3"/>
    <x v="2"/>
  </r>
  <r>
    <d v="2024-03-15T00:00:00"/>
    <n v="3987.48"/>
    <n v="3981.73"/>
    <n v="3991.53"/>
    <n v="3965.55"/>
    <s v="143.43K"/>
    <x v="289"/>
    <n v="3954.672"/>
    <n v="8.0891311149344208E-3"/>
    <x v="2"/>
  </r>
  <r>
    <d v="2024-03-18T00:00:00"/>
    <n v="3985.63"/>
    <n v="3987.96"/>
    <n v="4007.76"/>
    <n v="3969.48"/>
    <s v="159.39K"/>
    <x v="290"/>
    <n v="3948.9255000000003"/>
    <n v="8.3934254381552442E-3"/>
    <x v="2"/>
  </r>
  <r>
    <d v="2024-03-19T00:00:00"/>
    <n v="3983.69"/>
    <n v="3934.94"/>
    <n v="3985.86"/>
    <n v="3934.73"/>
    <s v="161.50K"/>
    <x v="291"/>
    <n v="3944.9960000000001"/>
    <n v="8.7057723027877953E-3"/>
    <x v="2"/>
  </r>
  <r>
    <d v="2024-03-20T00:00:00"/>
    <n v="3933.57"/>
    <n v="3928.15"/>
    <n v="3965.85"/>
    <n v="3928.15"/>
    <s v="190.07K"/>
    <x v="292"/>
    <n v="3937.8204999999989"/>
    <n v="9.4225443368998133E-3"/>
    <x v="2"/>
  </r>
  <r>
    <d v="2024-03-21T00:00:00"/>
    <n v="3927.74"/>
    <n v="3937.47"/>
    <n v="3958.63"/>
    <n v="3923.26"/>
    <s v="154.99K"/>
    <x v="293"/>
    <n v="3933.546499999999"/>
    <n v="9.1034248171849332E-3"/>
    <x v="2"/>
  </r>
  <r>
    <d v="2024-03-22T00:00:00"/>
    <n v="3945.46"/>
    <n v="3911.89"/>
    <n v="3954.35"/>
    <n v="3899.75"/>
    <s v="161.08K"/>
    <x v="294"/>
    <n v="3930.4444999999992"/>
    <n v="9.1889890874605421E-3"/>
    <x v="2"/>
  </r>
  <r>
    <d v="2024-03-25T00:00:00"/>
    <n v="3941.89"/>
    <n v="3934.54"/>
    <n v="3956.14"/>
    <n v="3933.97"/>
    <s v="157.74K"/>
    <x v="295"/>
    <n v="3932.6364999999996"/>
    <n v="1.1720574619574584E-2"/>
    <x v="3"/>
  </r>
  <r>
    <d v="2024-03-26T00:00:00"/>
    <n v="3922.03"/>
    <n v="3908.13"/>
    <n v="3955.95"/>
    <n v="3908.13"/>
    <s v="160.94K"/>
    <x v="296"/>
    <n v="3934.8305"/>
    <n v="1.1720438963200821E-2"/>
    <x v="3"/>
  </r>
  <r>
    <d v="2024-03-27T00:00:00"/>
    <n v="3911.84"/>
    <n v="3930.78"/>
    <n v="3938.76"/>
    <n v="3901.65"/>
    <s v="178.51K"/>
    <x v="297"/>
    <n v="3937.5735"/>
    <n v="1.1665773276625281E-2"/>
    <x v="3"/>
  </r>
  <r>
    <d v="2024-03-28T00:00:00"/>
    <n v="3933.18"/>
    <n v="4000.99"/>
    <n v="4000.99"/>
    <n v="3931.74"/>
    <s v="230.35K"/>
    <x v="298"/>
    <n v="3939.5005000000006"/>
    <n v="1.1762444551078831E-2"/>
    <x v="3"/>
  </r>
  <r>
    <d v="2024-03-29T00:00:00"/>
    <n v="4028.5"/>
    <n v="3987.15"/>
    <n v="4031.74"/>
    <n v="3981.35"/>
    <s v="181.62K"/>
    <x v="299"/>
    <n v="3941.2830000000008"/>
    <n v="1.174653678820621E-2"/>
    <x v="3"/>
  </r>
  <r>
    <d v="2024-04-01T00:00:00"/>
    <n v="3988.83"/>
    <n v="3988.02"/>
    <n v="4005.33"/>
    <n v="3977.35"/>
    <s v="177.25K"/>
    <x v="300"/>
    <n v="3941.8390000000009"/>
    <n v="1.1137922988702762E-2"/>
    <x v="3"/>
  </r>
  <r>
    <d v="2024-04-02T00:00:00"/>
    <n v="3995.64"/>
    <n v="4094.05"/>
    <n v="4098.38"/>
    <n v="3988.97"/>
    <s v="253.46K"/>
    <x v="301"/>
    <n v="3947.942"/>
    <n v="1.1522818167938433E-2"/>
    <x v="3"/>
  </r>
  <r>
    <d v="2024-04-03T00:00:00"/>
    <n v="3966.57"/>
    <n v="3970.66"/>
    <n v="3995.51"/>
    <n v="3948.42"/>
    <s v="175.96K"/>
    <x v="302"/>
    <n v="3952.4469999999992"/>
    <n v="1.1650090145896639E-2"/>
    <x v="3"/>
  </r>
  <r>
    <d v="2024-04-08T00:00:00"/>
    <n v="3973.14"/>
    <n v="3923.9"/>
    <n v="3995.12"/>
    <n v="3923.9"/>
    <s v="192.06K"/>
    <x v="303"/>
    <n v="3960.6750000000002"/>
    <n v="1.1673140186673916E-2"/>
    <x v="3"/>
  </r>
  <r>
    <d v="2024-04-09T00:00:00"/>
    <n v="3921.59"/>
    <n v="3916.56"/>
    <n v="3936.34"/>
    <n v="3910.08"/>
    <s v="138.53K"/>
    <x v="304"/>
    <n v="3967.2205000000008"/>
    <n v="1.1832837216569764E-2"/>
    <x v="3"/>
  </r>
  <r>
    <d v="2024-04-10T00:00:00"/>
    <n v="3930.56"/>
    <n v="3948.13"/>
    <n v="3957.36"/>
    <n v="3917.75"/>
    <s v="174.63K"/>
    <x v="305"/>
    <n v="3978.4260000000004"/>
    <n v="1.14481626714041E-2"/>
    <x v="3"/>
  </r>
  <r>
    <d v="2024-04-11T00:00:00"/>
    <n v="3951.89"/>
    <n v="3946.7"/>
    <n v="3963.95"/>
    <n v="3922.84"/>
    <s v="182.50K"/>
    <x v="306"/>
    <n v="3983.1120000000001"/>
    <n v="1.3518969952411055E-2"/>
    <x v="3"/>
  </r>
  <r>
    <d v="2024-04-12T00:00:00"/>
    <n v="3947.63"/>
    <n v="3909.7"/>
    <n v="3955.13"/>
    <n v="3902.17"/>
    <s v="197.29K"/>
    <x v="307"/>
    <n v="3987.7460000000001"/>
    <n v="1.3513008574213706E-2"/>
    <x v="3"/>
  </r>
  <r>
    <d v="2024-04-15T00:00:00"/>
    <n v="3916.58"/>
    <n v="3869.89"/>
    <n v="3962.7"/>
    <n v="3869.89"/>
    <s v="187.66K"/>
    <x v="308"/>
    <n v="3987.6025"/>
    <n v="1.4704502329402864E-2"/>
    <x v="3"/>
  </r>
  <r>
    <d v="2024-04-16T00:00:00"/>
    <n v="3872.55"/>
    <n v="3904.25"/>
    <n v="3908.39"/>
    <n v="3866.01"/>
    <s v="150.12K"/>
    <x v="309"/>
    <n v="3986.2745000000004"/>
    <n v="1.4934791702363615E-2"/>
    <x v="3"/>
  </r>
  <r>
    <d v="2024-04-17T00:00:00"/>
    <n v="3907.04"/>
    <n v="3829.34"/>
    <n v="3907.16"/>
    <n v="3817.91"/>
    <s v="174.14K"/>
    <x v="310"/>
    <n v="3987.1989999999996"/>
    <n v="1.4708339929265322E-2"/>
    <x v="3"/>
  </r>
  <r>
    <d v="2024-04-18T00:00:00"/>
    <n v="3840.18"/>
    <n v="3836.26"/>
    <n v="3875.23"/>
    <n v="3833.28"/>
    <s v="149.89K"/>
    <x v="311"/>
    <n v="3986.3194999999992"/>
    <n v="1.4569669768471445E-2"/>
    <x v="3"/>
  </r>
  <r>
    <d v="2024-04-19T00:00:00"/>
    <n v="3848.09"/>
    <n v="3875.61"/>
    <n v="3889.71"/>
    <n v="3812.32"/>
    <s v="190.70K"/>
    <x v="312"/>
    <n v="3990.5429999999992"/>
    <n v="1.4132067722641722E-2"/>
    <x v="3"/>
  </r>
  <r>
    <d v="2024-04-22T00:00:00"/>
    <n v="3865.7"/>
    <n v="3984.24"/>
    <n v="3990.26"/>
    <n v="3865.7"/>
    <s v="216.29K"/>
    <x v="313"/>
    <n v="3996.3464999999997"/>
    <n v="1.4270945491591042E-2"/>
    <x v="3"/>
  </r>
  <r>
    <d v="2024-04-23T00:00:00"/>
    <n v="3989.3"/>
    <n v="3979.46"/>
    <n v="3999.57"/>
    <n v="3966.07"/>
    <s v="166.13K"/>
    <x v="314"/>
    <n v="4000.8824999999997"/>
    <n v="1.4273562003846423E-2"/>
    <x v="3"/>
  </r>
  <r>
    <d v="2024-04-24T00:00:00"/>
    <n v="3985.77"/>
    <n v="3966.12"/>
    <n v="4001.08"/>
    <n v="3958.34"/>
    <s v="184.60K"/>
    <x v="315"/>
    <n v="3997.8589999999995"/>
    <n v="1.2395623314088564E-2"/>
    <x v="3"/>
  </r>
  <r>
    <d v="2024-04-25T00:00:00"/>
    <n v="3976.89"/>
    <n v="3954.6"/>
    <n v="3979.15"/>
    <n v="3896.75"/>
    <s v="242.95K"/>
    <x v="316"/>
    <n v="3997.2309999999998"/>
    <n v="1.2681493022256045E-2"/>
    <x v="3"/>
  </r>
  <r>
    <d v="2024-04-26T00:00:00"/>
    <n v="3950.38"/>
    <n v="3982.1"/>
    <n v="4034.06"/>
    <n v="3931.19"/>
    <s v="306.78K"/>
    <x v="317"/>
    <n v="3996.2755000000006"/>
    <n v="1.2701632616912782E-2"/>
    <x v="3"/>
  </r>
  <r>
    <d v="2024-04-29T00:00:00"/>
    <n v="3968.83"/>
    <n v="4025.65"/>
    <n v="4049.07"/>
    <n v="3968.83"/>
    <s v="247.40K"/>
    <x v="318"/>
    <n v="3995.5165000000002"/>
    <n v="1.2677539618203221E-2"/>
    <x v="3"/>
  </r>
  <r>
    <d v="2024-04-30T00:00:00"/>
    <n v="4039.62"/>
    <n v="4101.22"/>
    <n v="4118.17"/>
    <n v="4034.94"/>
    <s v="230.15K"/>
    <x v="319"/>
    <n v="3993.3364999999999"/>
    <n v="1.2636672543309441E-2"/>
    <x v="3"/>
  </r>
  <r>
    <d v="2024-05-06T00:00:00"/>
    <n v="4110.8900000000003"/>
    <n v="4059.59"/>
    <n v="4121.07"/>
    <n v="4059.59"/>
    <s v="240.48K"/>
    <x v="320"/>
    <n v="3980.7665000000002"/>
    <n v="1.4039341781430743E-2"/>
    <x v="3"/>
  </r>
  <r>
    <d v="2024-05-07T00:00:00"/>
    <n v="4085.74"/>
    <n v="4133.3500000000004"/>
    <n v="4181.71"/>
    <n v="4060.79"/>
    <s v="297.78K"/>
    <x v="321"/>
    <n v="3966.8014999999991"/>
    <n v="1.3619417061942017E-2"/>
    <x v="3"/>
  </r>
  <r>
    <d v="2024-05-08T00:00:00"/>
    <n v="4131.13"/>
    <n v="4066.93"/>
    <n v="4132.51"/>
    <n v="4048.04"/>
    <s v="289.59K"/>
    <x v="322"/>
    <n v="3955.3139999999999"/>
    <n v="1.3774656265505808E-2"/>
    <x v="3"/>
  </r>
  <r>
    <d v="2024-05-09T00:00:00"/>
    <n v="4104.05"/>
    <n v="4192.08"/>
    <n v="4200.91"/>
    <n v="4094.16"/>
    <s v="332.35K"/>
    <x v="323"/>
    <n v="3946.8245000000002"/>
    <n v="1.5053762745840396E-2"/>
    <x v="3"/>
  </r>
  <r>
    <d v="2024-05-10T00:00:00"/>
    <n v="4145.7"/>
    <n v="3987.27"/>
    <n v="4146.1499999999996"/>
    <n v="3984.67"/>
    <s v="341.44K"/>
    <x v="324"/>
    <n v="3935.9805000000001"/>
    <n v="1.5487718233953089E-2"/>
    <x v="3"/>
  </r>
  <r>
    <d v="2024-05-13T00:00:00"/>
    <n v="4024.28"/>
    <n v="4051.29"/>
    <n v="4091.7"/>
    <n v="4002.5"/>
    <s v="335.81K"/>
    <x v="325"/>
    <n v="3928.585"/>
    <n v="1.6768823958580887E-2"/>
    <x v="3"/>
  </r>
  <r>
    <d v="2024-05-14T00:00:00"/>
    <n v="4044.57"/>
    <n v="3937.62"/>
    <n v="4046.7"/>
    <n v="3925.41"/>
    <s v="316.86K"/>
    <x v="326"/>
    <n v="3925.1699999999996"/>
    <n v="1.5626936483367028E-2"/>
    <x v="3"/>
  </r>
  <r>
    <d v="2024-05-15T00:00:00"/>
    <n v="3944.76"/>
    <n v="3897.71"/>
    <n v="3944.76"/>
    <n v="3891.21"/>
    <s v="229.24K"/>
    <x v="327"/>
    <n v="3935.7464999999997"/>
    <n v="2.3196867318032506E-2"/>
    <x v="3"/>
  </r>
  <r>
    <d v="2024-05-16T00:00:00"/>
    <n v="3890.02"/>
    <n v="3882.46"/>
    <n v="3933.22"/>
    <n v="3879.96"/>
    <s v="307.99K"/>
    <x v="328"/>
    <n v="3939.4010000000003"/>
    <n v="2.6031181060763738E-2"/>
    <x v="3"/>
  </r>
  <r>
    <d v="2024-05-17T00:00:00"/>
    <n v="3891.04"/>
    <n v="3888.42"/>
    <n v="3923.9"/>
    <n v="3859.11"/>
    <s v="300.64K"/>
    <x v="329"/>
    <n v="3930.0840000000003"/>
    <n v="3.1413009816925887E-2"/>
    <x v="3"/>
  </r>
  <r>
    <d v="2024-05-20T00:00:00"/>
    <n v="3889.45"/>
    <n v="3904.16"/>
    <n v="3926.06"/>
    <n v="3864.31"/>
    <s v="219.44K"/>
    <x v="330"/>
    <n v="3912.7980000000011"/>
    <n v="3.2698055841235765E-2"/>
    <x v="3"/>
  </r>
  <r>
    <d v="2024-05-21T00:00:00"/>
    <n v="3924.65"/>
    <n v="3970.01"/>
    <n v="3991.31"/>
    <n v="3921.58"/>
    <s v="217.29K"/>
    <x v="331"/>
    <n v="3888.4019999999996"/>
    <n v="3.3675407078735238E-2"/>
    <x v="3"/>
  </r>
  <r>
    <d v="2024-05-22T00:00:00"/>
    <n v="3964.16"/>
    <n v="3953.11"/>
    <n v="3964.16"/>
    <n v="3917.2"/>
    <s v="216.16K"/>
    <x v="332"/>
    <n v="3859.7650000000003"/>
    <n v="3.3528804672273746E-2"/>
    <x v="3"/>
  </r>
  <r>
    <d v="2024-05-23T00:00:00"/>
    <n v="3956.42"/>
    <n v="3931.32"/>
    <n v="3992.89"/>
    <n v="3921.94"/>
    <s v="210.70K"/>
    <x v="333"/>
    <n v="3822.1949999999997"/>
    <n v="3.4099984390710929E-2"/>
    <x v="3"/>
  </r>
  <r>
    <d v="2024-05-24T00:00:00"/>
    <n v="3928.83"/>
    <n v="3950.9"/>
    <n v="3957.98"/>
    <n v="3914.09"/>
    <s v="174.72K"/>
    <x v="334"/>
    <n v="3784.4265"/>
    <n v="3.4081324061564076E-2"/>
    <x v="3"/>
  </r>
  <r>
    <d v="2024-05-27T00:00:00"/>
    <n v="3973.21"/>
    <n v="3955.32"/>
    <n v="4012.18"/>
    <n v="3939.1"/>
    <s v="245.87K"/>
    <x v="335"/>
    <n v="3747.7869999999994"/>
    <n v="3.4127884114556722E-2"/>
    <x v="3"/>
  </r>
  <r>
    <d v="2024-05-28T00:00:00"/>
    <n v="3957.78"/>
    <n v="3923.74"/>
    <n v="3965.91"/>
    <n v="3917.52"/>
    <s v="223.43K"/>
    <x v="336"/>
    <n v="3707.6769999999988"/>
    <n v="3.3774346977907641E-2"/>
    <x v="3"/>
  </r>
  <r>
    <d v="2024-05-29T00:00:00"/>
    <n v="3935.2"/>
    <n v="3946.9"/>
    <n v="3979.26"/>
    <n v="3896.17"/>
    <s v="291.19K"/>
    <x v="337"/>
    <n v="3667.7504999999996"/>
    <n v="3.3776219077903666E-2"/>
    <x v="3"/>
  </r>
  <r>
    <d v="2024-05-30T00:00:00"/>
    <n v="3925.23"/>
    <n v="3780.31"/>
    <n v="3998.21"/>
    <n v="3765.16"/>
    <s v="312.96K"/>
    <x v="338"/>
    <n v="3629.614"/>
    <n v="3.3924645627990524E-2"/>
    <x v="3"/>
  </r>
  <r>
    <d v="2024-05-31T00:00:00"/>
    <n v="3788.22"/>
    <n v="3853.84"/>
    <n v="3882.07"/>
    <n v="3787.75"/>
    <s v="212.31K"/>
    <x v="339"/>
    <n v="3592.6590000000006"/>
    <n v="3.4039903306935328E-2"/>
    <x v="3"/>
  </r>
  <r>
    <d v="2024-06-03T00:00:00"/>
    <n v="3831.59"/>
    <n v="3806.14"/>
    <n v="3877.75"/>
    <n v="3805.09"/>
    <s v="218.87K"/>
    <x v="340"/>
    <n v="3563.0360000000001"/>
    <n v="3.3623000303983429E-2"/>
    <x v="3"/>
  </r>
  <r>
    <d v="2024-06-04T00:00:00"/>
    <n v="3855.99"/>
    <n v="3942.53"/>
    <n v="3967.87"/>
    <n v="3855.99"/>
    <s v="242.49K"/>
    <x v="341"/>
    <n v="3531.1040000000003"/>
    <n v="3.3361073930128146E-2"/>
    <x v="3"/>
  </r>
  <r>
    <d v="2024-06-05T00:00:00"/>
    <n v="3961.34"/>
    <n v="3915.22"/>
    <n v="3979.54"/>
    <n v="3868.78"/>
    <s v="307.58K"/>
    <x v="342"/>
    <n v="3499.8720000000008"/>
    <n v="3.3517814772926438E-2"/>
    <x v="3"/>
  </r>
  <r>
    <d v="2024-06-06T00:00:00"/>
    <n v="3887.17"/>
    <n v="3969.76"/>
    <n v="3978.24"/>
    <n v="3847.12"/>
    <s v="274.10K"/>
    <x v="343"/>
    <n v="3464.6930000000002"/>
    <n v="3.2711738389194625E-2"/>
    <x v="3"/>
  </r>
  <r>
    <d v="2024-06-07T00:00:00"/>
    <n v="3997.79"/>
    <n v="3979.61"/>
    <n v="4098.5"/>
    <n v="3912.77"/>
    <s v="395.05K"/>
    <x v="344"/>
    <n v="3432.9425000000001"/>
    <n v="3.2672643066762208E-2"/>
    <x v="3"/>
  </r>
  <r>
    <d v="2024-06-11T00:00:00"/>
    <n v="3955.98"/>
    <n v="4168.84"/>
    <n v="4197.6000000000004"/>
    <n v="3942.51"/>
    <s v="482.27K"/>
    <x v="345"/>
    <n v="3396.7244999999994"/>
    <n v="3.1726325026821017E-2"/>
    <x v="3"/>
  </r>
  <r>
    <d v="2024-06-12T00:00:00"/>
    <n v="4256.1000000000004"/>
    <n v="4450.37"/>
    <n v="4450.37"/>
    <n v="4094.35"/>
    <s v="589.87K"/>
    <x v="346"/>
    <n v="3362.1760000000004"/>
    <n v="3.1762300420644041E-2"/>
    <x v="3"/>
  </r>
  <r>
    <d v="2024-06-13T00:00:00"/>
    <n v="4017.85"/>
    <n v="3846.65"/>
    <n v="4038.7"/>
    <n v="3796.5"/>
    <s v="510.22K"/>
    <x v="347"/>
    <n v="3315.4424999999997"/>
    <n v="2.5625715782937337E-2"/>
    <x v="3"/>
  </r>
  <r>
    <d v="2024-06-14T00:00:00"/>
    <n v="3703.68"/>
    <n v="3617.92"/>
    <n v="3708.5"/>
    <n v="3596.58"/>
    <s v="265.49K"/>
    <x v="348"/>
    <n v="3278.4340000000002"/>
    <n v="2.3454788020742343E-2"/>
    <x v="3"/>
  </r>
  <r>
    <d v="2024-06-17T00:00:00"/>
    <n v="3545.32"/>
    <n v="3399.32"/>
    <n v="3545.32"/>
    <n v="3391.68"/>
    <s v="243.13K"/>
    <x v="349"/>
    <n v="3257.5749999999998"/>
    <n v="1.7187977799223934E-2"/>
    <x v="3"/>
  </r>
  <r>
    <d v="2024-06-18T00:00:00"/>
    <n v="3401.53"/>
    <n v="3403.7"/>
    <n v="3465.49"/>
    <n v="3393.44"/>
    <s v="241.56K"/>
    <x v="350"/>
    <n v="3245.5755000000004"/>
    <n v="1.4980712780495975E-2"/>
    <x v="3"/>
  </r>
  <r>
    <d v="2024-06-19T00:00:00"/>
    <n v="3351.91"/>
    <n v="3244.65"/>
    <n v="3351.97"/>
    <n v="3222.49"/>
    <s v="204.07K"/>
    <x v="351"/>
    <n v="3241.7100000000005"/>
    <n v="1.2265508146371923E-2"/>
    <x v="3"/>
  </r>
  <r>
    <d v="2024-06-20T00:00:00"/>
    <n v="3212.76"/>
    <n v="3200.87"/>
    <n v="3230.16"/>
    <n v="3198.02"/>
    <s v="95.35K"/>
    <x v="352"/>
    <n v="3240.4740000000006"/>
    <n v="1.1849391116675264E-2"/>
    <x v="3"/>
  </r>
  <r>
    <d v="2024-06-21T00:00:00"/>
    <n v="3201.05"/>
    <n v="3192.43"/>
    <n v="3207.99"/>
    <n v="3173.22"/>
    <s v="118.06K"/>
    <x v="353"/>
    <n v="3245.4929999999999"/>
    <n v="6.9403962882152934E-3"/>
    <x v="2"/>
  </r>
  <r>
    <d v="2024-06-24T00:00:00"/>
    <n v="3196.04"/>
    <n v="3178.4"/>
    <n v="3213.84"/>
    <n v="3149.79"/>
    <s v="125.44K"/>
    <x v="354"/>
    <n v="3251.5225"/>
    <n v="6.8332641267356171E-3"/>
    <x v="2"/>
  </r>
  <r>
    <d v="2024-06-25T00:00:00"/>
    <n v="3171.01"/>
    <n v="3158.82"/>
    <n v="3179.9"/>
    <n v="3145.79"/>
    <s v="84.72K"/>
    <x v="355"/>
    <n v="3258.3555000000001"/>
    <n v="6.7911764281798122E-3"/>
    <x v="2"/>
  </r>
  <r>
    <d v="2024-06-26T00:00:00"/>
    <n v="3159.25"/>
    <n v="3174.03"/>
    <n v="3188.91"/>
    <n v="3159.25"/>
    <s v="88.34K"/>
    <x v="356"/>
    <n v="3267.6534999999999"/>
    <n v="6.4585716217670647E-3"/>
    <x v="2"/>
  </r>
  <r>
    <d v="2024-06-27T00:00:00"/>
    <n v="3172.47"/>
    <n v="3189.43"/>
    <n v="3201.55"/>
    <n v="3171.88"/>
    <s v="92.87K"/>
    <x v="357"/>
    <n v="3276.9725000000008"/>
    <n v="6.4412417552420767E-3"/>
    <x v="2"/>
  </r>
  <r>
    <d v="2024-06-28T00:00:00"/>
    <n v="3186.13"/>
    <n v="3187.05"/>
    <n v="3197.34"/>
    <n v="3174.03"/>
    <s v="102.48K"/>
    <x v="358"/>
    <n v="3285.4465000000005"/>
    <n v="6.4935097074316417E-3"/>
    <x v="2"/>
  </r>
  <r>
    <d v="2024-07-01T00:00:00"/>
    <n v="3195.76"/>
    <n v="3193.46"/>
    <n v="3205.1"/>
    <n v="3171.79"/>
    <s v="97.29K"/>
    <x v="359"/>
    <n v="3291.6019999999999"/>
    <n v="7.0430352483807496E-3"/>
    <x v="2"/>
  </r>
  <r>
    <d v="2024-07-02T00:00:00"/>
    <n v="3192.95"/>
    <n v="3214.8"/>
    <n v="3222.93"/>
    <n v="3180.93"/>
    <s v="108.67K"/>
    <x v="360"/>
    <n v="3298.5335"/>
    <n v="7.1542142823902734E-3"/>
    <x v="2"/>
  </r>
  <r>
    <d v="2024-07-03T00:00:00"/>
    <n v="3231.35"/>
    <n v="3261.15"/>
    <n v="3274.81"/>
    <n v="3231.07"/>
    <s v="88.40K"/>
    <x v="361"/>
    <n v="3305.1789999999992"/>
    <n v="7.2013215254234722E-3"/>
    <x v="2"/>
  </r>
  <r>
    <d v="2024-07-04T00:00:00"/>
    <n v="3257.76"/>
    <n v="3252.96"/>
    <n v="3266.88"/>
    <n v="3247.17"/>
    <s v="97.11K"/>
    <x v="362"/>
    <n v="3310.1930000000002"/>
    <n v="6.8091283029008218E-3"/>
    <x v="2"/>
  </r>
  <r>
    <d v="2024-07-05T00:00:00"/>
    <n v="3252.16"/>
    <n v="3253.9"/>
    <n v="3272.99"/>
    <n v="3249.98"/>
    <s v="104.83K"/>
    <x v="363"/>
    <n v="3314.4519999999998"/>
    <n v="6.6464427611813148E-3"/>
    <x v="2"/>
  </r>
  <r>
    <d v="2024-07-08T00:00:00"/>
    <n v="3273.43"/>
    <n v="3261.74"/>
    <n v="3281.59"/>
    <n v="3261.19"/>
    <s v="122.90K"/>
    <x v="364"/>
    <n v="3318.9184999999998"/>
    <n v="6.6217593262729068E-3"/>
    <x v="2"/>
  </r>
  <r>
    <d v="2024-07-09T00:00:00"/>
    <n v="3265.01"/>
    <n v="3307.54"/>
    <n v="3307.76"/>
    <n v="3264.76"/>
    <s v="147.61K"/>
    <x v="365"/>
    <n v="3322.3959999999993"/>
    <n v="6.5109292116194038E-3"/>
    <x v="2"/>
  </r>
  <r>
    <d v="2024-07-10T00:00:00"/>
    <n v="3321.43"/>
    <n v="3273.75"/>
    <n v="3351.63"/>
    <n v="3273.65"/>
    <s v="188.70K"/>
    <x v="366"/>
    <n v="3326.3114999999998"/>
    <n v="6.4594119691791891E-3"/>
    <x v="2"/>
  </r>
  <r>
    <d v="2024-07-11T00:00:00"/>
    <n v="3277.68"/>
    <n v="3273.54"/>
    <n v="3290.79"/>
    <n v="3269.53"/>
    <s v="130.70K"/>
    <x v="367"/>
    <n v="3329.4594999999999"/>
    <n v="5.8752404260571899E-3"/>
    <x v="2"/>
  </r>
  <r>
    <d v="2024-07-12T00:00:00"/>
    <n v="3286.5"/>
    <n v="3298.91"/>
    <n v="3305.35"/>
    <n v="3274.59"/>
    <s v="92.70K"/>
    <x v="368"/>
    <n v="3336.5389999999998"/>
    <n v="5.2119487276974224E-3"/>
    <x v="2"/>
  </r>
  <r>
    <d v="2024-07-15T00:00:00"/>
    <n v="3305.33"/>
    <n v="3315.69"/>
    <n v="3320.57"/>
    <n v="3299.56"/>
    <s v="95.81K"/>
    <x v="369"/>
    <n v="3344.3180000000002"/>
    <n v="5.3095765138131898E-3"/>
    <x v="2"/>
  </r>
  <r>
    <d v="2024-07-16T00:00:00"/>
    <n v="3324.22"/>
    <n v="3330.72"/>
    <n v="3336.53"/>
    <n v="3311.57"/>
    <s v="93.99K"/>
    <x v="370"/>
    <n v="3347.5205000000001"/>
    <n v="7.3910076931913453E-3"/>
    <x v="2"/>
  </r>
  <r>
    <d v="2024-07-17T00:00:00"/>
    <n v="3327.19"/>
    <n v="3305.93"/>
    <n v="3336.24"/>
    <n v="3305.64"/>
    <s v="89.53K"/>
    <x v="371"/>
    <n v="3350.8464999999997"/>
    <n v="7.4133202507567142E-3"/>
    <x v="2"/>
  </r>
  <r>
    <d v="2024-07-18T00:00:00"/>
    <n v="3313.14"/>
    <n v="3322.87"/>
    <n v="3327.7"/>
    <n v="3305.25"/>
    <s v="100.37K"/>
    <x v="372"/>
    <n v="3354.9514999999992"/>
    <n v="7.4796524960707581E-3"/>
    <x v="2"/>
  </r>
  <r>
    <d v="2024-07-19T00:00:00"/>
    <n v="3321.64"/>
    <n v="3322.91"/>
    <n v="3339.44"/>
    <n v="3307.99"/>
    <s v="89.96K"/>
    <x v="373"/>
    <n v="3359.2579999999994"/>
    <n v="7.4356278336553819E-3"/>
    <x v="2"/>
  </r>
  <r>
    <d v="2024-07-22T00:00:00"/>
    <n v="3332.7"/>
    <n v="3361.64"/>
    <n v="3362.33"/>
    <n v="3321.64"/>
    <s v="101.67K"/>
    <x v="374"/>
    <n v="3364.0844999999995"/>
    <n v="7.4921641897344694E-3"/>
    <x v="2"/>
  </r>
  <r>
    <d v="2024-07-23T00:00:00"/>
    <n v="3356.97"/>
    <n v="3344.26"/>
    <n v="3375.96"/>
    <n v="3343.71"/>
    <s v="105.57K"/>
    <x v="375"/>
    <n v="3369.4434999999999"/>
    <n v="7.561989703856198E-3"/>
    <x v="2"/>
  </r>
  <r>
    <d v="2024-07-24T00:00:00"/>
    <n v="3345.63"/>
    <n v="3342.03"/>
    <n v="3356.91"/>
    <n v="3335.62"/>
    <s v="96.52K"/>
    <x v="376"/>
    <n v="3377.3409999999994"/>
    <n v="8.7417600678744278E-3"/>
    <x v="2"/>
  </r>
  <r>
    <d v="2024-07-25T00:00:00"/>
    <n v="3341.95"/>
    <n v="3301.45"/>
    <n v="3356.76"/>
    <n v="3297.97"/>
    <s v="104.77K"/>
    <x v="377"/>
    <n v="3387.0104999999994"/>
    <n v="8.6889466900820674E-3"/>
    <x v="2"/>
  </r>
  <r>
    <d v="2024-07-26T00:00:00"/>
    <n v="3309.24"/>
    <n v="3332.79"/>
    <n v="3332.79"/>
    <n v="3309.1"/>
    <s v="78.74K"/>
    <x v="378"/>
    <n v="3395.9594999999986"/>
    <n v="8.8300769291197127E-3"/>
    <x v="2"/>
  </r>
  <r>
    <d v="2024-07-29T00:00:00"/>
    <n v="3334.39"/>
    <n v="3328.01"/>
    <n v="3335.01"/>
    <n v="3310.19"/>
    <s v="84.49K"/>
    <x v="379"/>
    <n v="3405.5764999999992"/>
    <n v="8.5599390639975806E-3"/>
    <x v="2"/>
  </r>
  <r>
    <d v="2024-07-30T00:00:00"/>
    <n v="3325.86"/>
    <n v="3327.56"/>
    <n v="3338.08"/>
    <n v="3319.89"/>
    <s v="79.94K"/>
    <x v="380"/>
    <n v="3413.7709999999993"/>
    <n v="8.5242166117663869E-3"/>
    <x v="2"/>
  </r>
  <r>
    <d v="2024-07-31T00:00:00"/>
    <n v="3331.63"/>
    <n v="3358.13"/>
    <n v="3366.67"/>
    <n v="3331.63"/>
    <s v="91.51K"/>
    <x v="381"/>
    <n v="3421.2905000000001"/>
    <n v="8.6791270613520086E-3"/>
    <x v="2"/>
  </r>
  <r>
    <d v="2024-08-01T00:00:00"/>
    <n v="3342.94"/>
    <n v="3332.43"/>
    <n v="3364.79"/>
    <n v="3320.84"/>
    <s v="92.50K"/>
    <x v="382"/>
    <n v="3428.3289999999993"/>
    <n v="8.7112105836021445E-3"/>
    <x v="2"/>
  </r>
  <r>
    <d v="2024-08-02T00:00:00"/>
    <n v="3341.49"/>
    <n v="3338.59"/>
    <n v="3362.38"/>
    <n v="3329.97"/>
    <s v="95.08K"/>
    <x v="383"/>
    <n v="3434.5904999999998"/>
    <n v="8.7363637028718966E-3"/>
    <x v="2"/>
  </r>
  <r>
    <d v="2024-08-05T00:00:00"/>
    <n v="3342.98"/>
    <n v="3367.35"/>
    <n v="3376.8"/>
    <n v="3318.63"/>
    <s v="119.34K"/>
    <x v="384"/>
    <n v="3438.9644999999996"/>
    <n v="9.2127266288831739E-3"/>
    <x v="2"/>
  </r>
  <r>
    <d v="2024-08-06T00:00:00"/>
    <n v="3343.32"/>
    <n v="3362.11"/>
    <n v="3409.03"/>
    <n v="3343.32"/>
    <s v="142.81K"/>
    <x v="385"/>
    <n v="3443.8059999999996"/>
    <n v="9.2189670157022518E-3"/>
    <x v="2"/>
  </r>
  <r>
    <d v="2024-08-07T00:00:00"/>
    <n v="3384.39"/>
    <n v="3393.92"/>
    <n v="3419.1"/>
    <n v="3380.96"/>
    <s v="116.62K"/>
    <x v="386"/>
    <n v="3446.7280000000001"/>
    <n v="9.6346860368497975E-3"/>
    <x v="3"/>
  </r>
  <r>
    <d v="2024-08-08T00:00:00"/>
    <n v="3419.27"/>
    <n v="3443.14"/>
    <n v="3448.34"/>
    <n v="3419.19"/>
    <s v="136.32K"/>
    <x v="387"/>
    <n v="3449.0614999999998"/>
    <n v="9.4396029306630432E-3"/>
    <x v="2"/>
  </r>
  <r>
    <d v="2024-08-09T00:00:00"/>
    <n v="3442.08"/>
    <n v="3364.03"/>
    <n v="3445"/>
    <n v="3364.03"/>
    <s v="171.96K"/>
    <x v="388"/>
    <n v="3450.3885"/>
    <n v="9.2115915893697664E-3"/>
    <x v="2"/>
  </r>
  <r>
    <d v="2024-08-12T00:00:00"/>
    <n v="3369.38"/>
    <n v="3380.69"/>
    <n v="3380.69"/>
    <n v="3352.8"/>
    <s v="104.95K"/>
    <x v="389"/>
    <n v="3451.4550000000004"/>
    <n v="9.162318608103185E-3"/>
    <x v="2"/>
  </r>
  <r>
    <d v="2024-08-13T00:00:00"/>
    <n v="3390.74"/>
    <n v="3404.37"/>
    <n v="3408.5"/>
    <n v="3388.84"/>
    <s v="109.79K"/>
    <x v="390"/>
    <n v="3456.575499999999"/>
    <n v="7.6455769916447354E-3"/>
    <x v="2"/>
  </r>
  <r>
    <d v="2024-08-14T00:00:00"/>
    <n v="3409.29"/>
    <n v="3403.71"/>
    <n v="3420.82"/>
    <n v="3388.66"/>
    <s v="124.20K"/>
    <x v="391"/>
    <n v="3460.9474999999993"/>
    <n v="7.5622279145319531E-3"/>
    <x v="2"/>
  </r>
  <r>
    <d v="2024-08-15T00:00:00"/>
    <n v="3399.27"/>
    <n v="3404.61"/>
    <n v="3415.86"/>
    <n v="3383.8"/>
    <s v="131.02K"/>
    <x v="392"/>
    <n v="3463.5659999999998"/>
    <n v="7.6107845418814258E-3"/>
    <x v="2"/>
  </r>
  <r>
    <d v="2024-08-16T00:00:00"/>
    <n v="3418.17"/>
    <n v="3432.35"/>
    <n v="3451.42"/>
    <n v="3408.41"/>
    <s v="127.04K"/>
    <x v="393"/>
    <n v="3466.3085000000001"/>
    <n v="7.5930447169805602E-3"/>
    <x v="2"/>
  </r>
  <r>
    <d v="2024-08-19T00:00:00"/>
    <n v="3439.88"/>
    <n v="3509.79"/>
    <n v="3509.79"/>
    <n v="3439.88"/>
    <s v="128.90K"/>
    <x v="394"/>
    <n v="3469.4129999999996"/>
    <n v="7.6717646614550342E-3"/>
    <x v="2"/>
  </r>
  <r>
    <d v="2024-08-20T00:00:00"/>
    <n v="3514.92"/>
    <n v="3538.4"/>
    <n v="3540.19"/>
    <n v="3494.01"/>
    <s v="132.13K"/>
    <x v="395"/>
    <n v="3470.3139999999999"/>
    <n v="7.7281487734350163E-3"/>
    <x v="2"/>
  </r>
  <r>
    <d v="2024-08-21T00:00:00"/>
    <n v="3539.02"/>
    <n v="3500.81"/>
    <n v="3545.34"/>
    <n v="3493.07"/>
    <s v="132.45K"/>
    <x v="396"/>
    <n v="3468.4085"/>
    <n v="6.0039063090658656E-3"/>
    <x v="2"/>
  </r>
  <r>
    <d v="2024-08-22T00:00:00"/>
    <n v="3520.93"/>
    <n v="3483.3"/>
    <n v="3522.8"/>
    <n v="3475.72"/>
    <s v="123.77K"/>
    <x v="397"/>
    <n v="3466.2385000000004"/>
    <n v="5.9183822917107977E-3"/>
    <x v="2"/>
  </r>
  <r>
    <d v="2024-08-23T00:00:00"/>
    <n v="3501.58"/>
    <n v="3494.21"/>
    <n v="3514.48"/>
    <n v="3486.22"/>
    <s v="131.80K"/>
    <x v="398"/>
    <n v="3465.3560000000007"/>
    <n v="5.8502795042676787E-3"/>
    <x v="2"/>
  </r>
  <r>
    <d v="2024-08-26T00:00:00"/>
    <n v="3498.28"/>
    <n v="3466.85"/>
    <n v="3500.29"/>
    <n v="3464.37"/>
    <s v="120.66K"/>
    <x v="399"/>
    <n v="3466.7145000000005"/>
    <n v="5.9418005323540529E-3"/>
    <x v="2"/>
  </r>
  <r>
    <d v="2024-08-27T00:00:00"/>
    <n v="3476.25"/>
    <n v="3462.61"/>
    <n v="3481.46"/>
    <n v="3460.79"/>
    <s v="118.52K"/>
    <x v="400"/>
    <n v="3469.0800000000004"/>
    <n v="6.010683622128284E-3"/>
    <x v="2"/>
  </r>
  <r>
    <d v="2024-08-28T00:00:00"/>
    <n v="3472.4"/>
    <n v="3459.96"/>
    <n v="3479.1"/>
    <n v="3457.36"/>
    <s v="130.88K"/>
    <x v="401"/>
    <n v="3472.0775000000003"/>
    <n v="5.84042247855532E-3"/>
    <x v="2"/>
  </r>
  <r>
    <d v="2024-08-29T00:00:00"/>
    <n v="3468.17"/>
    <n v="3451.04"/>
    <n v="3473.98"/>
    <n v="3438.12"/>
    <s v="145.89K"/>
    <x v="402"/>
    <n v="3475.5340000000006"/>
    <n v="5.8230298326091851E-3"/>
    <x v="2"/>
  </r>
  <r>
    <d v="2024-08-30T00:00:00"/>
    <n v="3428.97"/>
    <n v="3425.88"/>
    <n v="3447.5"/>
    <n v="3423.65"/>
    <s v="127.20K"/>
    <x v="403"/>
    <n v="3478.4319999999998"/>
    <n v="5.9269910735892124E-3"/>
    <x v="2"/>
  </r>
  <r>
    <d v="2024-09-02T00:00:00"/>
    <n v="3439.81"/>
    <n v="3396.8"/>
    <n v="3448.93"/>
    <n v="3384.81"/>
    <s v="131.63K"/>
    <x v="404"/>
    <n v="3484.1894999999995"/>
    <n v="5.2542071330914132E-3"/>
    <x v="2"/>
  </r>
  <r>
    <d v="2024-09-03T00:00:00"/>
    <n v="3401.76"/>
    <n v="3420.8"/>
    <n v="3428.04"/>
    <n v="3395.91"/>
    <s v="115.53K"/>
    <x v="405"/>
    <n v="3489.3429999999998"/>
    <n v="5.2602707544616226E-3"/>
    <x v="2"/>
  </r>
  <r>
    <d v="2024-09-04T00:00:00"/>
    <n v="3431.06"/>
    <n v="3443.36"/>
    <n v="3451.04"/>
    <n v="3399.67"/>
    <s v="116.61K"/>
    <x v="406"/>
    <n v="3497.9605000000001"/>
    <n v="4.6002116455131055E-3"/>
    <x v="2"/>
  </r>
  <r>
    <d v="2024-09-05T00:00:00"/>
    <n v="3445.81"/>
    <n v="3468.3"/>
    <n v="3483.31"/>
    <n v="3444.93"/>
    <s v="104.43K"/>
    <x v="407"/>
    <n v="3506.0199999999991"/>
    <n v="4.4164845390991993E-3"/>
    <x v="2"/>
  </r>
  <r>
    <d v="2024-09-06T00:00:00"/>
    <n v="3463.41"/>
    <n v="3471.56"/>
    <n v="3478.7"/>
    <n v="3454.99"/>
    <s v="103.86K"/>
    <x v="408"/>
    <n v="3513.4689999999996"/>
    <n v="4.4042490496431419E-3"/>
    <x v="2"/>
  </r>
  <r>
    <d v="2024-09-09T00:00:00"/>
    <n v="3471.79"/>
    <n v="3472.45"/>
    <n v="3488.32"/>
    <n v="3464.52"/>
    <s v="121.65K"/>
    <x v="409"/>
    <n v="3521.0819999999999"/>
    <n v="4.4319035137747858E-3"/>
    <x v="2"/>
  </r>
  <r>
    <d v="2024-09-10T00:00:00"/>
    <n v="3478.18"/>
    <n v="3458.26"/>
    <n v="3479.95"/>
    <n v="3443.81"/>
    <s v="121.83K"/>
    <x v="410"/>
    <n v="3526.9299999999994"/>
    <n v="4.9235149278938576E-3"/>
    <x v="2"/>
  </r>
  <r>
    <d v="2024-09-11T00:00:00"/>
    <n v="3461.66"/>
    <n v="3443.67"/>
    <n v="3484.68"/>
    <n v="3443.67"/>
    <s v="135.41K"/>
    <x v="411"/>
    <n v="3532.0169999999989"/>
    <n v="5.008844691077291E-3"/>
    <x v="2"/>
  </r>
  <r>
    <d v="2024-09-12T00:00:00"/>
    <n v="3454.12"/>
    <n v="3467.29"/>
    <n v="3471.14"/>
    <n v="3452.58"/>
    <s v="114.92K"/>
    <x v="412"/>
    <n v="3538.6494999999995"/>
    <n v="4.8173245768835847E-3"/>
    <x v="2"/>
  </r>
  <r>
    <d v="2024-09-13T00:00:00"/>
    <n v="3480.26"/>
    <n v="3451.54"/>
    <n v="3487.4"/>
    <n v="3442.3"/>
    <s v="105.90K"/>
    <x v="413"/>
    <n v="3546.6194999999998"/>
    <n v="4.7762324052812851E-3"/>
    <x v="2"/>
  </r>
  <r>
    <d v="2024-09-18T00:00:00"/>
    <n v="3457.9"/>
    <n v="3475.16"/>
    <n v="3483.22"/>
    <n v="3440.65"/>
    <s v="118.45K"/>
    <x v="414"/>
    <n v="3553.0649999999996"/>
    <n v="4.6655167061038123E-3"/>
    <x v="2"/>
  </r>
  <r>
    <d v="2024-09-19T00:00:00"/>
    <n v="3476.81"/>
    <n v="3473.64"/>
    <n v="3505.78"/>
    <n v="3471.22"/>
    <s v="117.99K"/>
    <x v="415"/>
    <n v="3561.9555"/>
    <n v="4.3915841996948219E-3"/>
    <x v="2"/>
  </r>
  <r>
    <d v="2024-09-20T00:00:00"/>
    <n v="3495.62"/>
    <n v="3496.34"/>
    <n v="3505.51"/>
    <n v="3473.83"/>
    <s v="109.19K"/>
    <x v="416"/>
    <n v="3568.1889999999994"/>
    <n v="5.0736166511418683E-3"/>
    <x v="2"/>
  </r>
  <r>
    <d v="2024-09-23T00:00:00"/>
    <n v="3503.28"/>
    <n v="3525.17"/>
    <n v="3533.99"/>
    <n v="3500.13"/>
    <s v="111.62K"/>
    <x v="417"/>
    <n v="3575.497499999999"/>
    <n v="5.4429701738457894E-3"/>
    <x v="2"/>
  </r>
  <r>
    <d v="2024-09-24T00:00:00"/>
    <n v="3528.75"/>
    <n v="3543.36"/>
    <n v="3543.36"/>
    <n v="3524.84"/>
    <s v="106.64K"/>
    <x v="418"/>
    <n v="3584.5559999999991"/>
    <n v="5.855531099245961E-3"/>
    <x v="2"/>
  </r>
  <r>
    <d v="2024-09-25T00:00:00"/>
    <n v="3545.59"/>
    <n v="3533.49"/>
    <n v="3551.71"/>
    <n v="3532.78"/>
    <s v="123.67K"/>
    <x v="419"/>
    <n v="3591.9265"/>
    <n v="5.8377353753186227E-3"/>
    <x v="2"/>
  </r>
  <r>
    <d v="2024-09-26T00:00:00"/>
    <n v="3536.2"/>
    <n v="3521.44"/>
    <n v="3540.79"/>
    <n v="3520.74"/>
    <s v="137.43K"/>
    <x v="420"/>
    <n v="3599.1949999999997"/>
    <n v="5.8218805015574039E-3"/>
    <x v="2"/>
  </r>
  <r>
    <d v="2024-09-27T00:00:00"/>
    <n v="3541.53"/>
    <n v="3514.8"/>
    <n v="3547.15"/>
    <n v="3503.52"/>
    <s v="171.52K"/>
    <x v="421"/>
    <n v="3606.2835"/>
    <n v="5.8618195144682543E-3"/>
    <x v="2"/>
  </r>
  <r>
    <d v="2024-09-30T00:00:00"/>
    <n v="3526.13"/>
    <n v="3548.22"/>
    <n v="3551.08"/>
    <n v="3520.18"/>
    <s v="123.25K"/>
    <x v="422"/>
    <n v="3611.2249999999995"/>
    <n v="6.4678022001775021E-3"/>
    <x v="2"/>
  </r>
  <r>
    <d v="2024-10-08T00:00:00"/>
    <n v="3544.12"/>
    <n v="3539.09"/>
    <n v="3551.17"/>
    <n v="3531.57"/>
    <s v="122.81K"/>
    <x v="423"/>
    <n v="3616.2214999999997"/>
    <n v="6.4488103041024127E-3"/>
    <x v="2"/>
  </r>
  <r>
    <d v="2024-10-09T00:00:00"/>
    <n v="3542.88"/>
    <n v="3555.82"/>
    <n v="3565.31"/>
    <n v="3525.89"/>
    <s v="134.52K"/>
    <x v="424"/>
    <n v="3621.8679999999999"/>
    <n v="6.5966757214014418E-3"/>
    <x v="2"/>
  </r>
  <r>
    <d v="2024-10-10T00:00:00"/>
    <n v="3574.11"/>
    <n v="3594.63"/>
    <n v="3603.07"/>
    <n v="3552.09"/>
    <s v="131.10K"/>
    <x v="425"/>
    <n v="3627.9584999999997"/>
    <n v="6.5814488414456564E-3"/>
    <x v="2"/>
  </r>
  <r>
    <d v="2024-10-11T00:00:00"/>
    <n v="3592.25"/>
    <n v="3602.16"/>
    <n v="3625.01"/>
    <n v="3584.17"/>
    <s v="137.89K"/>
    <x v="426"/>
    <n v="3632.567"/>
    <n v="6.3687885537572269E-3"/>
    <x v="2"/>
  </r>
  <r>
    <d v="2024-10-14T00:00:00"/>
    <n v="3594.79"/>
    <n v="3610.36"/>
    <n v="3623.32"/>
    <n v="3594.11"/>
    <s v="110.91K"/>
    <x v="427"/>
    <n v="3636.1824999999999"/>
    <n v="6.3159403335093702E-3"/>
    <x v="2"/>
  </r>
  <r>
    <d v="2024-10-15T00:00:00"/>
    <n v="3615.67"/>
    <n v="3583.81"/>
    <n v="3622.5"/>
    <n v="3580.28"/>
    <s v="124.55K"/>
    <x v="428"/>
    <n v="3637.9540000000002"/>
    <n v="6.7303000241528627E-3"/>
    <x v="2"/>
  </r>
  <r>
    <d v="2024-10-16T00:00:00"/>
    <n v="3588.75"/>
    <n v="3577.38"/>
    <n v="3600.6"/>
    <n v="3567.87"/>
    <s v="141.06K"/>
    <x v="429"/>
    <n v="3640.1209999999992"/>
    <n v="6.8341288293166371E-3"/>
    <x v="2"/>
  </r>
  <r>
    <d v="2024-10-17T00:00:00"/>
    <n v="3579.92"/>
    <n v="3599.82"/>
    <n v="3614.64"/>
    <n v="3579.92"/>
    <s v="112.46K"/>
    <x v="430"/>
    <n v="3643.5775000000003"/>
    <n v="6.5722455688608118E-3"/>
    <x v="2"/>
  </r>
  <r>
    <d v="2024-10-18T00:00:00"/>
    <n v="3594.31"/>
    <n v="3607.05"/>
    <n v="3624.04"/>
    <n v="3586.75"/>
    <s v="122.60K"/>
    <x v="431"/>
    <n v="3644.8010000000004"/>
    <n v="7.4154822297065656E-3"/>
    <x v="2"/>
  </r>
  <r>
    <d v="2024-10-21T00:00:00"/>
    <n v="3613.52"/>
    <n v="3609.07"/>
    <n v="3633.2"/>
    <n v="3602.82"/>
    <s v="115.91K"/>
    <x v="432"/>
    <n v="3646.2810000000004"/>
    <n v="7.4581216368175387E-3"/>
    <x v="2"/>
  </r>
  <r>
    <d v="2024-10-22T00:00:00"/>
    <n v="3609.17"/>
    <n v="3633.25"/>
    <n v="3638.97"/>
    <n v="3605.92"/>
    <s v="123.53K"/>
    <x v="433"/>
    <n v="3644.8185000000003"/>
    <n v="7.7761290861656576E-3"/>
    <x v="2"/>
  </r>
  <r>
    <d v="2024-10-23T00:00:00"/>
    <n v="3635.71"/>
    <n v="3606.65"/>
    <n v="3638.15"/>
    <n v="3603.71"/>
    <s v="131.27K"/>
    <x v="434"/>
    <n v="3640.8740000000007"/>
    <n v="8.4426010977381484E-3"/>
    <x v="2"/>
  </r>
  <r>
    <d v="2024-10-24T00:00:00"/>
    <n v="3601.48"/>
    <n v="3630.83"/>
    <n v="3650.87"/>
    <n v="3599.67"/>
    <s v="124.79K"/>
    <x v="435"/>
    <n v="3635.1695"/>
    <n v="8.2091481684104795E-3"/>
    <x v="2"/>
  </r>
  <r>
    <d v="2024-10-25T00:00:00"/>
    <n v="3641.79"/>
    <n v="3672.84"/>
    <n v="3674.37"/>
    <n v="3633.51"/>
    <s v="142.57K"/>
    <x v="436"/>
    <n v="3630.4065000000001"/>
    <n v="8.0307377592376984E-3"/>
    <x v="2"/>
  </r>
  <r>
    <d v="2024-10-28T00:00:00"/>
    <n v="3684.45"/>
    <n v="3675.65"/>
    <n v="3691.88"/>
    <n v="3667.09"/>
    <s v="151.92K"/>
    <x v="437"/>
    <n v="3624.8619999999996"/>
    <n v="7.7388256913058125E-3"/>
    <x v="2"/>
  </r>
  <r>
    <d v="2024-10-29T00:00:00"/>
    <n v="3676.16"/>
    <n v="3682.29"/>
    <n v="3684.61"/>
    <n v="3665.15"/>
    <s v="130.68K"/>
    <x v="438"/>
    <n v="3617.7224999999999"/>
    <n v="7.1815821649543685E-3"/>
    <x v="2"/>
  </r>
  <r>
    <d v="2024-10-30T00:00:00"/>
    <n v="3690.96"/>
    <n v="3682.06"/>
    <n v="3703.03"/>
    <n v="3677.44"/>
    <s v="184.61K"/>
    <x v="439"/>
    <n v="3612.4044999999996"/>
    <n v="7.5133366538656394E-3"/>
    <x v="2"/>
  </r>
  <r>
    <d v="2024-10-31T00:00:00"/>
    <n v="3677.97"/>
    <n v="3638.56"/>
    <n v="3677.97"/>
    <n v="3627.45"/>
    <s v="164.57K"/>
    <x v="440"/>
    <n v="3606.1264999999994"/>
    <n v="7.4031945685406929E-3"/>
    <x v="2"/>
  </r>
  <r>
    <d v="2024-11-01T00:00:00"/>
    <n v="3640.36"/>
    <n v="3636.6"/>
    <n v="3657.48"/>
    <n v="3626.33"/>
    <s v="154.63K"/>
    <x v="441"/>
    <n v="3597.7835"/>
    <n v="7.993695350481618E-3"/>
    <x v="2"/>
  </r>
  <r>
    <d v="2024-11-04T00:00:00"/>
    <n v="3626.06"/>
    <n v="3651.05"/>
    <n v="3656.53"/>
    <n v="3624"/>
    <s v="123.52K"/>
    <x v="442"/>
    <n v="3593.2195000000002"/>
    <n v="8.2736825731192492E-3"/>
    <x v="2"/>
  </r>
  <r>
    <d v="2024-11-05T00:00:00"/>
    <n v="3657.05"/>
    <n v="3668.23"/>
    <n v="3675.78"/>
    <n v="3646.71"/>
    <s v="133.41K"/>
    <x v="443"/>
    <n v="3585.7084999999997"/>
    <n v="9.3352201824555836E-3"/>
    <x v="2"/>
  </r>
  <r>
    <d v="2024-11-06T00:00:00"/>
    <n v="3664.69"/>
    <n v="3646.35"/>
    <n v="3673.62"/>
    <n v="3634.6"/>
    <s v="157.27K"/>
    <x v="444"/>
    <n v="3578.0680000000016"/>
    <n v="9.3130761545575872E-3"/>
    <x v="2"/>
  </r>
  <r>
    <d v="2024-11-07T00:00:00"/>
    <n v="3666.28"/>
    <n v="3669.09"/>
    <n v="3674.61"/>
    <n v="3641.76"/>
    <s v="150.72K"/>
    <x v="445"/>
    <n v="3570.0690000000009"/>
    <n v="9.277088722768348E-3"/>
    <x v="2"/>
  </r>
  <r>
    <d v="2024-11-08T00:00:00"/>
    <n v="3664.56"/>
    <n v="3630.41"/>
    <n v="3669.76"/>
    <n v="3630.41"/>
    <s v="146.56K"/>
    <x v="446"/>
    <n v="3563.4295000000006"/>
    <n v="9.5517525347285567E-3"/>
    <x v="3"/>
  </r>
  <r>
    <d v="2024-11-11T00:00:00"/>
    <n v="3630.22"/>
    <n v="3650.75"/>
    <n v="3650.94"/>
    <n v="3628.7"/>
    <s v="130.04K"/>
    <x v="447"/>
    <n v="3557.0220000000008"/>
    <n v="9.5656308167791897E-3"/>
    <x v="3"/>
  </r>
  <r>
    <d v="2024-11-12T00:00:00"/>
    <n v="3659.01"/>
    <n v="3657"/>
    <n v="3665.68"/>
    <n v="3648.38"/>
    <s v="164.83K"/>
    <x v="448"/>
    <n v="3553.9010000000003"/>
    <n v="9.6685943422918225E-3"/>
    <x v="3"/>
  </r>
  <r>
    <d v="2024-11-13T00:00:00"/>
    <n v="3657.88"/>
    <n v="3654.05"/>
    <n v="3668.26"/>
    <n v="3645.74"/>
    <s v="208.02K"/>
    <x v="449"/>
    <n v="3549.9844999999996"/>
    <n v="9.5096956263802795E-3"/>
    <x v="3"/>
  </r>
  <r>
    <d v="2024-11-14T00:00:00"/>
    <n v="3604.39"/>
    <n v="3619.26"/>
    <n v="3630.71"/>
    <n v="3604.39"/>
    <s v="191.30K"/>
    <x v="450"/>
    <n v="3546.8729999999996"/>
    <n v="9.5805449207601659E-3"/>
    <x v="3"/>
  </r>
  <r>
    <d v="2024-11-15T00:00:00"/>
    <n v="3623.91"/>
    <n v="3584.54"/>
    <n v="3645.82"/>
    <n v="3578.76"/>
    <s v="222.72K"/>
    <x v="451"/>
    <n v="3543.5275000000001"/>
    <n v="9.7039983636854951E-3"/>
    <x v="3"/>
  </r>
  <r>
    <d v="2024-11-18T00:00:00"/>
    <n v="3584.27"/>
    <n v="3531.96"/>
    <n v="3588.4"/>
    <n v="3531.96"/>
    <s v="197.22K"/>
    <x v="452"/>
    <n v="3538.38"/>
    <n v="9.6206898962917058E-3"/>
    <x v="3"/>
  </r>
  <r>
    <d v="2024-11-19T00:00:00"/>
    <n v="3530.28"/>
    <n v="3510.64"/>
    <n v="3543.97"/>
    <n v="3505.2"/>
    <s v="115.19K"/>
    <x v="453"/>
    <n v="3534.3059999999996"/>
    <n v="9.4033501038953277E-3"/>
    <x v="2"/>
  </r>
  <r>
    <d v="2024-11-20T00:00:00"/>
    <n v="3521.62"/>
    <n v="3514.01"/>
    <n v="3524.54"/>
    <n v="3495.65"/>
    <s v="121.74K"/>
    <x v="454"/>
    <n v="3534.9794999999999"/>
    <n v="9.2147378320403348E-3"/>
    <x v="2"/>
  </r>
  <r>
    <d v="2024-11-21T00:00:00"/>
    <n v="3506.22"/>
    <n v="3525.67"/>
    <n v="3533.76"/>
    <n v="3499.98"/>
    <s v="143.11K"/>
    <x v="455"/>
    <n v="3535.1864999999998"/>
    <n v="9.2734425095468212E-3"/>
    <x v="2"/>
  </r>
  <r>
    <d v="2024-11-22T00:00:00"/>
    <n v="3530.9"/>
    <n v="3536.18"/>
    <n v="3558.16"/>
    <n v="3528.02"/>
    <s v="150.58K"/>
    <x v="456"/>
    <n v="3537.1255000000006"/>
    <n v="9.2843962655462398E-3"/>
    <x v="2"/>
  </r>
  <r>
    <d v="2024-11-25T00:00:00"/>
    <n v="3541.66"/>
    <n v="3550.61"/>
    <n v="3560.95"/>
    <n v="3529.32"/>
    <s v="147.28K"/>
    <x v="457"/>
    <n v="3539.6350000000007"/>
    <n v="9.4247392466572464E-3"/>
    <x v="2"/>
  </r>
  <r>
    <d v="2024-11-26T00:00:00"/>
    <n v="3569.8"/>
    <n v="3550.56"/>
    <n v="3602.79"/>
    <n v="3547.6"/>
    <s v="178.57K"/>
    <x v="458"/>
    <n v="3541.8210000000008"/>
    <n v="9.4100566325055271E-3"/>
    <x v="2"/>
  </r>
  <r>
    <d v="2024-11-27T00:00:00"/>
    <n v="3565.4"/>
    <n v="3509.13"/>
    <n v="3565.94"/>
    <n v="3498.03"/>
    <s v="168.47K"/>
    <x v="459"/>
    <n v="3542.2125000000005"/>
    <n v="9.2683032645918002E-3"/>
    <x v="2"/>
  </r>
  <r>
    <d v="2024-11-28T00:00:00"/>
    <n v="3511.11"/>
    <n v="3533.36"/>
    <n v="3545.5"/>
    <n v="3503.62"/>
    <s v="176.15K"/>
    <x v="460"/>
    <n v="3544.1190000000001"/>
    <n v="9.3945054557315871E-3"/>
    <x v="2"/>
  </r>
  <r>
    <d v="2024-11-29T00:00:00"/>
    <n v="3549.08"/>
    <n v="3473.5"/>
    <n v="3552.41"/>
    <n v="3473.5"/>
    <s v="183.94K"/>
    <x v="461"/>
    <n v="3547.0630000000006"/>
    <n v="8.9533895162645493E-3"/>
    <x v="2"/>
  </r>
  <r>
    <d v="2024-12-02T00:00:00"/>
    <n v="3475.84"/>
    <n v="3505.75"/>
    <n v="3516.7"/>
    <n v="3470.06"/>
    <s v="128.92K"/>
    <x v="462"/>
    <n v="3547.7200000000003"/>
    <n v="8.6604323330429708E-3"/>
    <x v="2"/>
  </r>
  <r>
    <d v="2024-12-03T00:00:00"/>
    <n v="3504.24"/>
    <n v="3485.03"/>
    <n v="3520.59"/>
    <n v="3484.93"/>
    <s v="126.53K"/>
    <x v="463"/>
    <n v="3552.5459999999994"/>
    <n v="7.1427956900558618E-3"/>
    <x v="2"/>
  </r>
  <r>
    <d v="2024-12-04T00:00:00"/>
    <n v="3504.71"/>
    <n v="3528.97"/>
    <n v="3531.23"/>
    <n v="3490.05"/>
    <s v="128.79K"/>
    <x v="464"/>
    <n v="3557.2084999999997"/>
    <n v="7.0903963273280246E-3"/>
    <x v="2"/>
  </r>
  <r>
    <d v="2024-12-05T00:00:00"/>
    <n v="3533.49"/>
    <n v="3533.39"/>
    <n v="3543.71"/>
    <n v="3518.86"/>
    <s v="129.67K"/>
    <x v="465"/>
    <n v="3561.4359999999992"/>
    <n v="7.1325918356717963E-3"/>
    <x v="2"/>
  </r>
  <r>
    <d v="2024-12-06T00:00:00"/>
    <n v="3536.41"/>
    <n v="3553.56"/>
    <n v="3567.82"/>
    <n v="3535.77"/>
    <s v="155.30K"/>
    <x v="466"/>
    <n v="3562.0069999999992"/>
    <n v="7.5419926906131569E-3"/>
    <x v="2"/>
  </r>
  <r>
    <d v="2024-12-09T00:00:00"/>
    <n v="3567.8"/>
    <n v="3578.68"/>
    <n v="3582.43"/>
    <n v="3558.87"/>
    <s v="135.59K"/>
    <x v="467"/>
    <n v="3561.6724999999997"/>
    <n v="7.6055720090965383E-3"/>
    <x v="2"/>
  </r>
  <r>
    <d v="2024-12-10T00:00:00"/>
    <n v="3580.68"/>
    <n v="3593.22"/>
    <n v="3596.19"/>
    <n v="3568.75"/>
    <s v="141.27K"/>
    <x v="468"/>
    <n v="3560.835"/>
    <n v="7.4551216172585276E-3"/>
    <x v="2"/>
  </r>
  <r>
    <d v="2024-12-11T00:00:00"/>
    <n v="3595.65"/>
    <n v="3551.58"/>
    <n v="3600.92"/>
    <n v="3551.58"/>
    <s v="162.78K"/>
    <x v="469"/>
    <n v="3560.0765000000001"/>
    <n v="7.4682805156509316E-3"/>
    <x v="2"/>
  </r>
  <r>
    <d v="2024-12-12T00:00:00"/>
    <n v="3537.48"/>
    <n v="3516.88"/>
    <n v="3538.24"/>
    <n v="3516.88"/>
    <s v="128.64K"/>
    <x v="470"/>
    <n v="3557.3375000000001"/>
    <n v="7.5384514582088865E-3"/>
    <x v="2"/>
  </r>
  <r>
    <d v="2024-12-13T00:00:00"/>
    <n v="3520.96"/>
    <n v="3498.48"/>
    <n v="3551.21"/>
    <n v="3489.39"/>
    <s v="143.34K"/>
    <x v="471"/>
    <n v="3557.3535000000011"/>
    <n v="6.6082572661245098E-3"/>
    <x v="2"/>
  </r>
  <r>
    <d v="2024-12-16T00:00:00"/>
    <n v="3502.79"/>
    <n v="3538.72"/>
    <n v="3542.96"/>
    <n v="3502.79"/>
    <s v="128.63K"/>
    <x v="472"/>
    <n v="3557.1095000000009"/>
    <n v="6.6710766843584715E-3"/>
    <x v="2"/>
  </r>
  <r>
    <d v="2024-12-17T00:00:00"/>
    <n v="3543.75"/>
    <n v="3526.68"/>
    <n v="3547.65"/>
    <n v="3518.6"/>
    <s v="126.21K"/>
    <x v="473"/>
    <n v="3554.4830000000002"/>
    <n v="7.8097732947075742E-3"/>
    <x v="2"/>
  </r>
  <r>
    <d v="2024-12-18T00:00:00"/>
    <n v="3525.76"/>
    <n v="3536.71"/>
    <n v="3564.96"/>
    <n v="3525.76"/>
    <s v="137.02K"/>
    <x v="474"/>
    <n v="3552.0349999999999"/>
    <n v="7.9152734189628145E-3"/>
    <x v="2"/>
  </r>
  <r>
    <d v="2024-12-19T00:00:00"/>
    <n v="3545"/>
    <n v="3571.27"/>
    <n v="3575.72"/>
    <n v="3522.84"/>
    <s v="139.23K"/>
    <x v="475"/>
    <n v="3548.4150000000009"/>
    <n v="8.2520324183636817E-3"/>
    <x v="2"/>
  </r>
  <r>
    <d v="2024-12-20T00:00:00"/>
    <n v="3581.09"/>
    <n v="3593.07"/>
    <n v="3601.11"/>
    <n v="3575.03"/>
    <s v="130.74K"/>
    <x v="476"/>
    <n v="3545.652000000001"/>
    <n v="8.5345634965964499E-3"/>
    <x v="2"/>
  </r>
  <r>
    <d v="2024-12-23T00:00:00"/>
    <n v="3585.38"/>
    <n v="3568.72"/>
    <n v="3589.55"/>
    <n v="3568.43"/>
    <s v="129.53K"/>
    <x v="477"/>
    <n v="3540.9310000000005"/>
    <n v="8.1381106714048194E-3"/>
    <x v="2"/>
  </r>
  <r>
    <d v="2024-12-24T00:00:00"/>
    <n v="3577.63"/>
    <n v="3593.34"/>
    <n v="3610.74"/>
    <n v="3577.19"/>
    <s v="145.57K"/>
    <x v="478"/>
    <n v="3534.5055000000007"/>
    <n v="8.2710885631928008E-3"/>
    <x v="2"/>
  </r>
  <r>
    <d v="2024-12-25T00:00:00"/>
    <n v="3603.53"/>
    <n v="3577.06"/>
    <n v="3604.05"/>
    <n v="3573.4"/>
    <s v="160.38K"/>
    <x v="479"/>
    <n v="3526.1665000000007"/>
    <n v="8.6639133960737576E-3"/>
    <x v="2"/>
  </r>
  <r>
    <d v="2024-12-26T00:00:00"/>
    <n v="3569.99"/>
    <n v="3554.91"/>
    <n v="3572.81"/>
    <n v="3533.68"/>
    <s v="138.32K"/>
    <x v="480"/>
    <n v="3516.1805000000008"/>
    <n v="8.3667004682316699E-3"/>
    <x v="2"/>
  </r>
  <r>
    <d v="2024-12-27T00:00:00"/>
    <n v="3562.22"/>
    <n v="3571.79"/>
    <n v="3597.46"/>
    <n v="3545.61"/>
    <s v="140.96K"/>
    <x v="481"/>
    <n v="3505.9274999999993"/>
    <n v="8.4658766167406869E-3"/>
    <x v="2"/>
  </r>
  <r>
    <d v="2024-12-30T00:00:00"/>
    <n v="3572.36"/>
    <n v="3594.42"/>
    <n v="3594.42"/>
    <n v="3563.37"/>
    <s v="144.59K"/>
    <x v="482"/>
    <n v="3494.9980000000005"/>
    <n v="8.4975813242469996E-3"/>
    <x v="2"/>
  </r>
  <r>
    <d v="2024-12-31T00:00:00"/>
    <n v="3597.49"/>
    <n v="3592.58"/>
    <n v="3605.7"/>
    <n v="3574.21"/>
    <s v="180.69K"/>
    <x v="483"/>
    <n v="3481.9645000000005"/>
    <n v="8.4911310119558381E-3"/>
    <x v="2"/>
  </r>
  <r>
    <d v="2025-01-02T00:00:00"/>
    <n v="3589.26"/>
    <n v="3545.94"/>
    <n v="3589.26"/>
    <n v="3542.28"/>
    <s v="148.20K"/>
    <x v="484"/>
    <n v="3462.1109999999994"/>
    <n v="1.0418223303374684E-2"/>
    <x v="3"/>
  </r>
  <r>
    <d v="2025-01-03T00:00:00"/>
    <n v="3544.91"/>
    <n v="3529.55"/>
    <n v="3548.51"/>
    <n v="3511.58"/>
    <s v="125.79K"/>
    <x v="485"/>
    <n v="3441.6295000000005"/>
    <n v="1.038645632158655E-2"/>
    <x v="3"/>
  </r>
  <r>
    <d v="2025-01-06T00:00:00"/>
    <n v="3529.72"/>
    <n v="3548.1"/>
    <n v="3569.92"/>
    <n v="3522.9"/>
    <s v="148.11K"/>
    <x v="486"/>
    <n v="3425.2694999999999"/>
    <n v="1.1007880516131951E-2"/>
    <x v="3"/>
  </r>
  <r>
    <d v="2025-01-07T00:00:00"/>
    <n v="3551.05"/>
    <n v="3556.53"/>
    <n v="3577.39"/>
    <n v="3545.1"/>
    <s v="143.08K"/>
    <x v="487"/>
    <n v="3409.5509999999995"/>
    <n v="1.1044741817215238E-2"/>
    <x v="3"/>
  </r>
  <r>
    <d v="2025-01-08T00:00:00"/>
    <n v="3565.51"/>
    <n v="3524.96"/>
    <n v="3570.69"/>
    <n v="3519.08"/>
    <s v="166.42K"/>
    <x v="488"/>
    <n v="3394.2504999999996"/>
    <n v="1.1228019330147658E-2"/>
    <x v="3"/>
  </r>
  <r>
    <d v="2025-01-09T00:00:00"/>
    <n v="3540.87"/>
    <n v="3538.37"/>
    <n v="3548.69"/>
    <n v="3519.76"/>
    <s v="163.25K"/>
    <x v="489"/>
    <n v="3381.1729999999998"/>
    <n v="1.2190190985247113E-2"/>
    <x v="3"/>
  </r>
  <r>
    <d v="2025-01-10T00:00:00"/>
    <n v="3537.8"/>
    <n v="3515.06"/>
    <n v="3544.36"/>
    <n v="3503.46"/>
    <s v="162.71K"/>
    <x v="490"/>
    <n v="3370.8204999999994"/>
    <n v="1.2489207140125004E-2"/>
    <x v="3"/>
  </r>
  <r>
    <d v="2025-01-13T00:00:00"/>
    <n v="3516.08"/>
    <n v="3437.9"/>
    <n v="3516.08"/>
    <n v="3437.9"/>
    <s v="155.95K"/>
    <x v="491"/>
    <n v="3361.0765000000001"/>
    <n v="1.2546293137619622E-2"/>
    <x v="3"/>
  </r>
  <r>
    <d v="2025-01-14T00:00:00"/>
    <n v="3450.26"/>
    <n v="3499.83"/>
    <n v="3521.66"/>
    <n v="3450.26"/>
    <s v="189.84K"/>
    <x v="492"/>
    <n v="3349.1279999999992"/>
    <n v="1.3092494011730963E-2"/>
    <x v="3"/>
  </r>
  <r>
    <d v="2025-01-15T00:00:00"/>
    <n v="3494.79"/>
    <n v="3440.05"/>
    <n v="3494.79"/>
    <n v="3437.44"/>
    <s v="139.53K"/>
    <x v="493"/>
    <n v="3338.2114999999999"/>
    <n v="1.283320423698958E-2"/>
    <x v="3"/>
  </r>
  <r>
    <d v="2025-01-16T00:00:00"/>
    <n v="3453.36"/>
    <n v="3485.54"/>
    <n v="3492.61"/>
    <n v="3445.39"/>
    <s v="151.25K"/>
    <x v="494"/>
    <n v="3324.4169999999999"/>
    <n v="1.2261606027285469E-2"/>
    <x v="3"/>
  </r>
  <r>
    <d v="2025-01-17T00:00:00"/>
    <n v="3489.74"/>
    <n v="3491.34"/>
    <n v="3507.56"/>
    <n v="3472.97"/>
    <s v="144.82K"/>
    <x v="495"/>
    <n v="3315.2379999999998"/>
    <n v="1.2877306176042205E-2"/>
    <x v="3"/>
  </r>
  <r>
    <d v="2025-01-20T00:00:00"/>
    <n v="3486.67"/>
    <n v="3450.35"/>
    <n v="3486.68"/>
    <n v="3448.41"/>
    <s v="141.02K"/>
    <x v="496"/>
    <n v="3304.4875000000002"/>
    <n v="1.2544950081806158E-2"/>
    <x v="3"/>
  </r>
  <r>
    <d v="2025-01-21T00:00:00"/>
    <n v="3456.87"/>
    <n v="3390.36"/>
    <n v="3500.13"/>
    <n v="3383.69"/>
    <s v="188.88K"/>
    <x v="497"/>
    <n v="3291.6080000000002"/>
    <n v="1.2761385509578324E-2"/>
    <x v="3"/>
  </r>
  <r>
    <d v="2025-01-22T00:00:00"/>
    <n v="3410.85"/>
    <n v="3395.19"/>
    <n v="3415.89"/>
    <n v="3380.1"/>
    <s v="140.74K"/>
    <x v="498"/>
    <n v="3283.8085000000001"/>
    <n v="1.3953318012973058E-2"/>
    <x v="3"/>
  </r>
  <r>
    <d v="2025-01-23T00:00:00"/>
    <n v="3403.81"/>
    <n v="3393.19"/>
    <n v="3403.81"/>
    <n v="3364.14"/>
    <s v="183.32K"/>
    <x v="499"/>
    <n v="3277.3120000000004"/>
    <n v="1.3742112434550115E-2"/>
    <x v="3"/>
  </r>
  <r>
    <d v="2025-01-24T00:00:00"/>
    <n v="3364.93"/>
    <n v="3351.41"/>
    <n v="3367.21"/>
    <n v="3336.98"/>
    <s v="189.98K"/>
    <x v="500"/>
    <n v="3271.33"/>
    <n v="1.3756574804218954E-2"/>
    <x v="3"/>
  </r>
  <r>
    <d v="2025-01-27T00:00:00"/>
    <n v="3343.63"/>
    <n v="3314.03"/>
    <n v="3343.63"/>
    <n v="3289.67"/>
    <s v="216.65K"/>
    <x v="501"/>
    <n v="3267.8669999999997"/>
    <n v="1.3605212518203836E-2"/>
    <x v="3"/>
  </r>
  <r>
    <d v="2025-02-05T00:00:00"/>
    <n v="3311.69"/>
    <n v="3185.25"/>
    <n v="3314.51"/>
    <n v="3182.82"/>
    <s v="202.71K"/>
    <x v="502"/>
    <n v="3264.5419999999999"/>
    <n v="1.3591459145252619E-2"/>
    <x v="3"/>
  </r>
  <r>
    <d v="2025-02-06T00:00:00"/>
    <n v="3200.42"/>
    <n v="3164.25"/>
    <n v="3233.85"/>
    <n v="3111.52"/>
    <s v="203.04K"/>
    <x v="503"/>
    <n v="3263.5824999999995"/>
    <n v="1.3487846484296021E-2"/>
    <x v="3"/>
  </r>
  <r>
    <d v="2025-02-07T00:00:00"/>
    <n v="3179.63"/>
    <n v="3219.87"/>
    <n v="3235.41"/>
    <n v="3108.35"/>
    <s v="173.76K"/>
    <x v="504"/>
    <n v="3267.8644999999997"/>
    <n v="1.0988665629363525E-2"/>
    <x v="3"/>
  </r>
  <r>
    <d v="2025-02-10T00:00:00"/>
    <n v="3217.71"/>
    <n v="3202.26"/>
    <n v="3251.76"/>
    <n v="3191.9"/>
    <s v="145.52K"/>
    <x v="505"/>
    <n v="3275.3384999999994"/>
    <n v="1.1122445412212759E-2"/>
    <x v="3"/>
  </r>
  <r>
    <d v="2025-02-11T00:00:00"/>
    <n v="3215.35"/>
    <n v="3231.54"/>
    <n v="3252.15"/>
    <n v="3201.93"/>
    <s v="153.14K"/>
    <x v="506"/>
    <n v="3281.8054999999995"/>
    <n v="1.0918302545926312E-2"/>
    <x v="3"/>
  </r>
  <r>
    <d v="2025-02-12T00:00:00"/>
    <n v="3245.04"/>
    <n v="3283.9"/>
    <n v="3300.2"/>
    <n v="3244.97"/>
    <s v="143.65K"/>
    <x v="507"/>
    <n v="3289.9529999999991"/>
    <n v="1.1015962743376259E-2"/>
    <x v="3"/>
  </r>
  <r>
    <d v="2025-02-13T00:00:00"/>
    <n v="3303.96"/>
    <n v="3335.39"/>
    <n v="3351.37"/>
    <n v="3303.96"/>
    <s v="184.17K"/>
    <x v="508"/>
    <n v="3297.0184999999997"/>
    <n v="1.0902545874184886E-2"/>
    <x v="3"/>
  </r>
  <r>
    <d v="2025-02-14T00:00:00"/>
    <n v="3333.82"/>
    <n v="3326.65"/>
    <n v="3351.97"/>
    <n v="3315.13"/>
    <s v="180.66K"/>
    <x v="509"/>
    <n v="3303.3759999999993"/>
    <n v="1.0572786860281841E-2"/>
    <x v="3"/>
  </r>
  <r>
    <d v="2025-02-17T00:00:00"/>
    <n v="3342.92"/>
    <n v="3274.34"/>
    <n v="3344.24"/>
    <n v="3269.79"/>
    <s v="196.83K"/>
    <x v="510"/>
    <n v="3307.4120000000003"/>
    <n v="1.0537670863731819E-2"/>
    <x v="3"/>
  </r>
  <r>
    <d v="2025-02-18T00:00:00"/>
    <n v="3277.11"/>
    <n v="3245.96"/>
    <n v="3281.49"/>
    <n v="3190.47"/>
    <s v="154.37K"/>
    <x v="511"/>
    <n v="3307.0839999999998"/>
    <n v="1.1827273723021574E-2"/>
    <x v="3"/>
  </r>
  <r>
    <d v="2025-02-19T00:00:00"/>
    <n v="3231.93"/>
    <n v="3208.43"/>
    <n v="3249.53"/>
    <n v="3188.13"/>
    <s v="122.01K"/>
    <x v="512"/>
    <n v="3309.4679999999998"/>
    <n v="1.0930766474871663E-2"/>
    <x v="3"/>
  </r>
  <r>
    <d v="2025-02-20T00:00:00"/>
    <n v="3218.9"/>
    <n v="3262.47"/>
    <n v="3281.42"/>
    <n v="3193.18"/>
    <s v="148.71K"/>
    <x v="513"/>
    <n v="3315.2440000000001"/>
    <n v="1.0445858047306515E-2"/>
    <x v="3"/>
  </r>
  <r>
    <d v="2025-02-21T00:00:00"/>
    <n v="3269.78"/>
    <n v="3261.24"/>
    <n v="3286.94"/>
    <n v="3251.81"/>
    <s v="118.50K"/>
    <x v="514"/>
    <n v="3321.1605000000004"/>
    <n v="1.0419316731255955E-2"/>
    <x v="3"/>
  </r>
  <r>
    <d v="2025-02-24T00:00:00"/>
    <n v="3274.73"/>
    <n v="3214.28"/>
    <n v="3279.25"/>
    <n v="3171.63"/>
    <s v="174.91K"/>
    <x v="515"/>
    <n v="3324.2150000000001"/>
    <n v="9.9117311216788701E-3"/>
    <x v="3"/>
  </r>
  <r>
    <d v="2025-02-25T00:00:00"/>
    <n v="3229.08"/>
    <n v="3291.14"/>
    <n v="3291.14"/>
    <n v="3229.08"/>
    <s v="108.77K"/>
    <x v="516"/>
    <n v="3325.3535000000002"/>
    <n v="1.0209558892850608E-2"/>
    <x v="3"/>
  </r>
  <r>
    <d v="2025-02-26T00:00:00"/>
    <n v="3300.88"/>
    <n v="3272.57"/>
    <n v="3300.88"/>
    <n v="3260.44"/>
    <s v="113.28K"/>
    <x v="517"/>
    <n v="3330.6014999999998"/>
    <n v="9.8883505830953903E-3"/>
    <x v="3"/>
  </r>
  <r>
    <d v="2025-02-27T00:00:00"/>
    <n v="3280.92"/>
    <n v="3270.1"/>
    <n v="3306.92"/>
    <n v="3261.27"/>
    <s v="88.85K"/>
    <x v="518"/>
    <n v="3332.0260000000003"/>
    <n v="8.6306874257336408E-3"/>
    <x v="2"/>
  </r>
  <r>
    <d v="2025-02-28T00:00:00"/>
    <n v="3284.17"/>
    <n v="3284.36"/>
    <n v="3310.47"/>
    <n v="3279.7"/>
    <s v="96.85K"/>
    <x v="519"/>
    <n v="3335.0575000000003"/>
    <n v="8.5173636065183547E-3"/>
    <x v="2"/>
  </r>
  <r>
    <d v="2025-03-03T00:00:00"/>
    <n v="3295.67"/>
    <n v="3275.31"/>
    <n v="3311.11"/>
    <n v="3266.79"/>
    <s v="108.79K"/>
    <x v="520"/>
    <n v="3338.4470000000001"/>
    <n v="8.5311288615555307E-3"/>
    <x v="2"/>
  </r>
  <r>
    <d v="2025-03-04T00:00:00"/>
    <n v="3277.13"/>
    <n v="3281.67"/>
    <n v="3312.92"/>
    <n v="3268.25"/>
    <s v="94.20K"/>
    <x v="521"/>
    <n v="3342.1435000000006"/>
    <n v="8.566702419955767E-3"/>
    <x v="2"/>
  </r>
  <r>
    <d v="2025-03-05T00:00:00"/>
    <n v="3292.5"/>
    <n v="3286.71"/>
    <n v="3304.6"/>
    <n v="3273.84"/>
    <s v="109.33K"/>
    <x v="522"/>
    <n v="3349.6270000000004"/>
    <n v="9.1006205960740983E-3"/>
    <x v="2"/>
  </r>
  <r>
    <d v="2025-03-06T00:00:00"/>
    <n v="3286.06"/>
    <n v="3322.6"/>
    <n v="3333.52"/>
    <n v="3283.34"/>
    <s v="117.43K"/>
    <x v="523"/>
    <n v="3355.9745000000012"/>
    <n v="9.1334256039702858E-3"/>
    <x v="2"/>
  </r>
  <r>
    <d v="2025-03-07T00:00:00"/>
    <n v="3329.11"/>
    <n v="3341.31"/>
    <n v="3372.54"/>
    <n v="3313.55"/>
    <s v="126.40K"/>
    <x v="524"/>
    <n v="3361.6445000000008"/>
    <n v="9.2611316939024847E-3"/>
    <x v="2"/>
  </r>
  <r>
    <d v="2025-03-10T00:00:00"/>
    <n v="3347.05"/>
    <n v="3375.02"/>
    <n v="3375.02"/>
    <n v="3323.86"/>
    <s v="106.72K"/>
    <x v="525"/>
    <n v="3364.7530000000006"/>
    <n v="8.901983477650777E-3"/>
    <x v="2"/>
  </r>
  <r>
    <d v="2025-03-11T00:00:00"/>
    <n v="3378.3"/>
    <n v="3379.75"/>
    <n v="3392.85"/>
    <n v="3362.66"/>
    <s v="105.61K"/>
    <x v="526"/>
    <n v="3367.3805000000002"/>
    <n v="8.8492191811582951E-3"/>
    <x v="2"/>
  </r>
  <r>
    <d v="2025-03-12T00:00:00"/>
    <n v="3386.35"/>
    <n v="3426.27"/>
    <n v="3426.27"/>
    <n v="3386.35"/>
    <s v="116.18K"/>
    <x v="527"/>
    <n v="3368.1784999999995"/>
    <n v="8.6298869410535318E-3"/>
    <x v="2"/>
  </r>
  <r>
    <d v="2025-03-13T00:00:00"/>
    <n v="3431.11"/>
    <n v="3411.11"/>
    <n v="3432.54"/>
    <n v="3409.58"/>
    <s v="114.93K"/>
    <x v="528"/>
    <n v="3371.8679999999999"/>
    <n v="9.6309161391069618E-3"/>
    <x v="3"/>
  </r>
  <r>
    <d v="2025-03-14T00:00:00"/>
    <n v="3414.54"/>
    <n v="3335.56"/>
    <n v="3423.4"/>
    <n v="3331.21"/>
    <s v="148.07K"/>
    <x v="529"/>
    <n v="3374.4564999999993"/>
    <n v="9.3006194613327597E-3"/>
    <x v="2"/>
  </r>
  <r>
    <d v="2025-03-17T00:00:00"/>
    <n v="3336.36"/>
    <n v="3326.93"/>
    <n v="3341.27"/>
    <n v="3309.67"/>
    <s v="94.40K"/>
    <x v="530"/>
    <n v="3378.5394999999999"/>
    <n v="9.22642717315212E-3"/>
    <x v="2"/>
  </r>
  <r>
    <d v="2025-03-18T00:00:00"/>
    <n v="3324.79"/>
    <n v="3345.4"/>
    <n v="3345.42"/>
    <n v="3315.94"/>
    <s v="74.73K"/>
    <x v="531"/>
    <n v="3386.1369999999997"/>
    <n v="7.3502274963675651E-3"/>
    <x v="2"/>
  </r>
  <r>
    <d v="2025-03-19T00:00:00"/>
    <n v="3347.45"/>
    <n v="3330.33"/>
    <n v="3348.88"/>
    <n v="3330.33"/>
    <s v="74.54K"/>
    <x v="532"/>
    <n v="3395.8234999999995"/>
    <n v="7.353544935140747E-3"/>
    <x v="2"/>
  </r>
  <r>
    <d v="2025-03-20T00:00:00"/>
    <n v="3337.23"/>
    <n v="3329.47"/>
    <n v="3359.06"/>
    <n v="3315.9"/>
    <s v="105.22K"/>
    <x v="533"/>
    <n v="3404.0479999999989"/>
    <n v="7.3641940446864083E-3"/>
    <x v="2"/>
  </r>
  <r>
    <d v="2025-03-21T00:00:00"/>
    <n v="3330.87"/>
    <n v="3285.6"/>
    <n v="3339.36"/>
    <n v="3283.99"/>
    <s v="102.55K"/>
    <x v="534"/>
    <n v="3414.0869999999995"/>
    <n v="7.3263763555615887E-3"/>
    <x v="2"/>
  </r>
  <r>
    <d v="2025-03-24T00:00:00"/>
    <n v="3297.5"/>
    <n v="3334.33"/>
    <n v="3338.54"/>
    <n v="3297.37"/>
    <s v="92.41K"/>
    <x v="535"/>
    <n v="3425.6194999999993"/>
    <n v="7.2773808255438052E-3"/>
    <x v="2"/>
  </r>
  <r>
    <d v="2025-03-25T00:00:00"/>
    <n v="3334.04"/>
    <n v="3325.66"/>
    <n v="3345.78"/>
    <n v="3313.19"/>
    <s v="83.81K"/>
    <x v="536"/>
    <n v="3437.9654999999993"/>
    <n v="6.8530383309549602E-3"/>
    <x v="2"/>
  </r>
  <r>
    <d v="2025-03-26T00:00:00"/>
    <n v="3329.37"/>
    <n v="3329.19"/>
    <n v="3352.35"/>
    <n v="3314.91"/>
    <s v="90.53K"/>
    <x v="537"/>
    <n v="3450.317"/>
    <n v="6.8125743778297389E-3"/>
    <x v="2"/>
  </r>
  <r>
    <d v="2025-03-27T00:00:00"/>
    <n v="3341.55"/>
    <n v="3365.94"/>
    <n v="3388.5"/>
    <n v="3339.52"/>
    <s v="97.79K"/>
    <x v="538"/>
    <n v="3462.6644999999999"/>
    <n v="6.8097229484100352E-3"/>
    <x v="2"/>
  </r>
  <r>
    <d v="2025-03-28T00:00:00"/>
    <n v="3351.96"/>
    <n v="3387.38"/>
    <n v="3399.14"/>
    <n v="3350.76"/>
    <s v="83.66K"/>
    <x v="539"/>
    <n v="3473.9904999999999"/>
    <n v="6.9367523339187026E-3"/>
    <x v="2"/>
  </r>
  <r>
    <d v="2025-03-31T00:00:00"/>
    <n v="3369.6"/>
    <n v="3418.64"/>
    <n v="3418.64"/>
    <n v="3369.6"/>
    <s v="95.29K"/>
    <x v="540"/>
    <n v="3485.0104999999994"/>
    <n v="6.9527135246004882E-3"/>
    <x v="2"/>
  </r>
  <r>
    <d v="2025-04-01T00:00:00"/>
    <n v="3426.8"/>
    <n v="3410"/>
    <n v="3427.55"/>
    <n v="3406.1"/>
    <s v="105.59K"/>
    <x v="541"/>
    <n v="3496.8929999999991"/>
    <n v="7.094137957070216E-3"/>
    <x v="2"/>
  </r>
  <r>
    <d v="2025-04-02T00:00:00"/>
    <n v="3419.45"/>
    <n v="3378.05"/>
    <n v="3426.61"/>
    <n v="3346.89"/>
    <s v="139.63K"/>
    <x v="542"/>
    <n v="3504.6559999999999"/>
    <n v="6.6996042310407669E-3"/>
    <x v="2"/>
  </r>
  <r>
    <d v="2025-04-03T00:00:00"/>
    <n v="3399.46"/>
    <n v="3391.86"/>
    <n v="3409.38"/>
    <n v="3383.45"/>
    <s v="129.52K"/>
    <x v="543"/>
    <n v="3512.654"/>
    <n v="6.658453068234628E-3"/>
    <x v="2"/>
  </r>
  <r>
    <d v="2025-04-07T00:00:00"/>
    <n v="3391.28"/>
    <n v="3394.31"/>
    <n v="3404.41"/>
    <n v="3369.77"/>
    <s v="97.71K"/>
    <x v="544"/>
    <n v="3522.0055000000002"/>
    <n v="6.3780171542520423E-3"/>
    <x v="2"/>
  </r>
  <r>
    <d v="2025-04-08T00:00:00"/>
    <n v="3399.6"/>
    <n v="3387.88"/>
    <n v="3420.28"/>
    <n v="3382.95"/>
    <s v="105.81K"/>
    <x v="545"/>
    <n v="3533.0830000000001"/>
    <n v="6.3396466495125809E-3"/>
    <x v="2"/>
  </r>
  <r>
    <d v="2025-04-09T00:00:00"/>
    <n v="3394.26"/>
    <n v="3450.09"/>
    <n v="3450.09"/>
    <n v="3393.81"/>
    <s v="100.47K"/>
    <x v="546"/>
    <n v="3543.6565000000001"/>
    <n v="6.3914709017012265E-3"/>
    <x v="2"/>
  </r>
  <r>
    <d v="2025-04-10T00:00:00"/>
    <n v="3460.14"/>
    <n v="3481.04"/>
    <n v="3488.13"/>
    <n v="3459.61"/>
    <s v="97.16K"/>
    <x v="547"/>
    <n v="3554.9314999999997"/>
    <n v="6.3016664935477956E-3"/>
    <x v="2"/>
  </r>
  <r>
    <d v="2025-04-11T00:00:00"/>
    <n v="3482.88"/>
    <n v="3494.22"/>
    <n v="3494.22"/>
    <n v="3452.17"/>
    <s v="108.53K"/>
    <x v="548"/>
    <n v="3563.5549999999994"/>
    <n v="5.0293135673943152E-3"/>
    <x v="2"/>
  </r>
  <r>
    <d v="2025-04-14T00:00:00"/>
    <n v="3496.2"/>
    <n v="3485.52"/>
    <n v="3505.13"/>
    <n v="3481.45"/>
    <s v="101.35K"/>
    <x v="549"/>
    <n v="3568.6179999999999"/>
    <n v="6.0396383929675473E-3"/>
    <x v="2"/>
  </r>
  <r>
    <d v="2025-04-15T00:00:00"/>
    <n v="3488.31"/>
    <n v="3518.88"/>
    <n v="3519.2"/>
    <n v="3482.24"/>
    <s v="98.84K"/>
    <x v="550"/>
    <n v="3571.5175000000004"/>
    <n v="6.3916302249648624E-3"/>
    <x v="2"/>
  </r>
  <r>
    <d v="2025-04-16T00:00:00"/>
    <n v="3518.52"/>
    <n v="3510.66"/>
    <n v="3521.05"/>
    <n v="3501.11"/>
    <s v="89.34K"/>
    <x v="551"/>
    <n v="3575.6534999999994"/>
    <n v="6.4044914823530126E-3"/>
    <x v="2"/>
  </r>
  <r>
    <d v="2025-04-17T00:00:00"/>
    <n v="3511.94"/>
    <n v="3534.44"/>
    <n v="3534.44"/>
    <n v="3492.86"/>
    <s v="99.10K"/>
    <x v="552"/>
    <n v="3578.3530000000005"/>
    <n v="6.1591249192084621E-3"/>
    <x v="2"/>
  </r>
  <r>
    <d v="2025-04-18T00:00:00"/>
    <n v="3538.01"/>
    <n v="3560.65"/>
    <n v="3560.65"/>
    <n v="3534"/>
    <s v="85.02K"/>
    <x v="553"/>
    <n v="3581.9445000000005"/>
    <n v="6.1477678264419289E-3"/>
    <x v="2"/>
  </r>
  <r>
    <d v="2025-04-21T00:00:00"/>
    <n v="3561.52"/>
    <n v="3541.44"/>
    <n v="3562.07"/>
    <n v="3529.94"/>
    <s v="84.80K"/>
    <x v="554"/>
    <n v="3583.1635000000001"/>
    <n v="6.1440259480589525E-3"/>
    <x v="2"/>
  </r>
  <r>
    <d v="2025-04-22T00:00:00"/>
    <n v="3544.42"/>
    <n v="3569.44"/>
    <n v="3574.38"/>
    <n v="3544.42"/>
    <s v="84.78K"/>
    <x v="555"/>
    <n v="3580.7945"/>
    <n v="6.6914520727849166E-3"/>
    <x v="2"/>
  </r>
  <r>
    <d v="2025-04-23T00:00:00"/>
    <n v="3581.07"/>
    <n v="3587.88"/>
    <n v="3615.06"/>
    <n v="3575.68"/>
    <s v="108.59K"/>
    <x v="556"/>
    <n v="3578.7965000000004"/>
    <n v="6.6400445296375043E-3"/>
    <x v="2"/>
  </r>
  <r>
    <d v="2025-04-24T00:00:00"/>
    <n v="3576.32"/>
    <n v="3569.73"/>
    <n v="3586.97"/>
    <n v="3545.1"/>
    <s v="91.08K"/>
    <x v="557"/>
    <n v="3574.0995000000003"/>
    <n v="6.1852205297035865E-3"/>
    <x v="2"/>
  </r>
  <r>
    <d v="2025-04-25T00:00:00"/>
    <n v="3568.07"/>
    <n v="3561.31"/>
    <n v="3573.68"/>
    <n v="3547.03"/>
    <s v="87.32K"/>
    <x v="558"/>
    <n v="3568.9955"/>
    <n v="6.2082119880596488E-3"/>
    <x v="2"/>
  </r>
  <r>
    <d v="2025-04-28T00:00:00"/>
    <n v="3572.36"/>
    <n v="3600.98"/>
    <n v="3605.29"/>
    <n v="3572.36"/>
    <s v="87.47K"/>
    <x v="559"/>
    <n v="3566.1214999999997"/>
    <n v="6.7464343516212381E-3"/>
    <x v="2"/>
  </r>
  <r>
    <d v="2025-04-29T00:00:00"/>
    <n v="3607.25"/>
    <n v="3616.88"/>
    <n v="3620.6"/>
    <n v="3596.92"/>
    <s v="104.93K"/>
    <x v="560"/>
    <n v="3564.1804999999995"/>
    <n v="6.9322714598005399E-3"/>
    <x v="2"/>
  </r>
  <r>
    <d v="2025-04-30T00:00:00"/>
    <n v="3582.06"/>
    <n v="3581.1"/>
    <n v="3600.15"/>
    <n v="3568.88"/>
    <s v="100.88K"/>
    <x v="561"/>
    <n v="3564.3469999999993"/>
    <n v="8.2665663428959403E-3"/>
    <x v="2"/>
  </r>
  <r>
    <d v="2025-05-06T00:00:00"/>
    <n v="3579.41"/>
    <n v="3593.91"/>
    <n v="3599.39"/>
    <n v="3562.77"/>
    <s v="96.71K"/>
    <x v="562"/>
    <n v="3567.2139999999986"/>
    <n v="8.2710279550633203E-3"/>
    <x v="2"/>
  </r>
  <r>
    <d v="2025-05-07T00:00:00"/>
    <n v="3586.49"/>
    <n v="3596.07"/>
    <n v="3599.45"/>
    <n v="3576.1"/>
    <s v="102.11K"/>
    <x v="563"/>
    <n v="3569.5735"/>
    <n v="8.3218710346486587E-3"/>
    <x v="2"/>
  </r>
  <r>
    <d v="2025-05-08T00:00:00"/>
    <n v="3612.83"/>
    <n v="3603.11"/>
    <n v="3624.41"/>
    <n v="3601.37"/>
    <s v="111.87K"/>
    <x v="564"/>
    <n v="3573.4195000000009"/>
    <n v="8.5850090283069863E-3"/>
    <x v="2"/>
  </r>
  <r>
    <d v="2025-05-09T00:00:00"/>
    <n v="3611.07"/>
    <n v="3610.64"/>
    <n v="3627.05"/>
    <n v="3591.82"/>
    <s v="110.59K"/>
    <x v="565"/>
    <n v="3577.8969999999999"/>
    <n v="8.7413173574622163E-3"/>
    <x v="2"/>
  </r>
  <r>
    <d v="2025-05-12T00:00:00"/>
    <n v="3619.76"/>
    <n v="3623.78"/>
    <n v="3628.46"/>
    <n v="3606.3"/>
    <s v="110.29K"/>
    <x v="566"/>
    <n v="3580.721"/>
    <n v="9.0570892178429164E-3"/>
    <x v="2"/>
  </r>
  <r>
    <d v="2025-05-13T00:00:00"/>
    <n v="3632.61"/>
    <n v="3608.32"/>
    <n v="3635.79"/>
    <n v="3600.63"/>
    <s v="152.98K"/>
    <x v="567"/>
    <n v="3582.5894999999996"/>
    <n v="9.0845318424390021E-3"/>
    <x v="2"/>
  </r>
  <r>
    <d v="2025-05-14T00:00:00"/>
    <n v="3584.14"/>
    <n v="3558.53"/>
    <n v="3596.1"/>
    <n v="3558.53"/>
    <s v="97.54K"/>
    <x v="568"/>
    <n v="3585.1954999999994"/>
    <n v="9.1972009093564452E-3"/>
    <x v="2"/>
  </r>
  <r>
    <d v="2025-05-15T00:00:00"/>
    <n v="3554.19"/>
    <n v="3580.07"/>
    <n v="3597.17"/>
    <n v="3553.74"/>
    <s v="90.36K"/>
    <x v="569"/>
    <n v="3590.4644999999996"/>
    <n v="8.5780415724129831E-3"/>
    <x v="2"/>
  </r>
  <r>
    <d v="2025-05-16T00:00:00"/>
    <n v="3571.03"/>
    <n v="3605.76"/>
    <n v="3606.41"/>
    <n v="3564.64"/>
    <s v="97.65K"/>
    <x v="570"/>
    <n v="3597.7799999999997"/>
    <n v="8.2622479241933819E-3"/>
    <x v="2"/>
  </r>
  <r>
    <d v="2025-05-19T00:00:00"/>
    <n v="3572.51"/>
    <n v="3581.68"/>
    <n v="3581.68"/>
    <n v="3554.58"/>
    <s v="112.59K"/>
    <x v="571"/>
    <n v="3603.8729999999996"/>
    <n v="8.2856185300618414E-3"/>
    <x v="2"/>
  </r>
  <r>
    <d v="2025-05-20T00:00:00"/>
    <n v="3583.77"/>
    <n v="3554.11"/>
    <n v="3592.72"/>
    <n v="3554.02"/>
    <s v="144.01K"/>
    <x v="572"/>
    <n v="3610.9775"/>
    <n v="8.3305648594625935E-3"/>
    <x v="2"/>
  </r>
  <r>
    <d v="2025-05-21T00:00:00"/>
    <n v="3562.39"/>
    <n v="3501.17"/>
    <n v="3576.59"/>
    <n v="3494.55"/>
    <s v="120.23K"/>
    <x v="573"/>
    <n v="3618.7354999999998"/>
    <n v="8.390055465609482E-3"/>
    <x v="2"/>
  </r>
  <r>
    <d v="2025-05-22T00:00:00"/>
    <n v="3514.14"/>
    <n v="3484.78"/>
    <n v="3515.57"/>
    <n v="3478.05"/>
    <s v="105.14K"/>
    <x v="574"/>
    <n v="3624.2379999999998"/>
    <n v="9.3529137842046552E-3"/>
    <x v="2"/>
  </r>
  <r>
    <d v="2025-05-23T00:00:00"/>
    <n v="3504.46"/>
    <n v="3524.3"/>
    <n v="3531.83"/>
    <n v="3500.92"/>
    <s v="128.01K"/>
    <x v="575"/>
    <n v="3633.8154999999997"/>
    <n v="8.7790784848123492E-3"/>
    <x v="2"/>
  </r>
  <r>
    <d v="2025-05-26T00:00:00"/>
    <n v="3487.13"/>
    <n v="3481.76"/>
    <n v="3495"/>
    <n v="3453.1"/>
    <s v="115.55K"/>
    <x v="576"/>
    <n v="3644.6175000000003"/>
    <n v="8.6878781632404693E-3"/>
    <x v="2"/>
  </r>
  <r>
    <d v="2025-05-27T00:00:00"/>
    <n v="3474.24"/>
    <n v="3500.2"/>
    <n v="3505.35"/>
    <n v="3450.65"/>
    <s v="96.56K"/>
    <x v="577"/>
    <n v="3656.6465000000003"/>
    <n v="8.4893357248308123E-3"/>
    <x v="2"/>
  </r>
  <r>
    <d v="2025-05-28T00:00:00"/>
    <n v="3510.59"/>
    <n v="3518.35"/>
    <n v="3535.66"/>
    <n v="3501.73"/>
    <s v="98.52K"/>
    <x v="578"/>
    <n v="3668.3735000000006"/>
    <n v="8.5552831508288272E-3"/>
    <x v="2"/>
  </r>
  <r>
    <d v="2025-05-29T00:00:00"/>
    <n v="3533.54"/>
    <n v="3588.52"/>
    <n v="3588.52"/>
    <n v="3532.31"/>
    <s v="111.74K"/>
    <x v="579"/>
    <n v="3679.5194999999999"/>
    <n v="8.4293721637388394E-3"/>
    <x v="2"/>
  </r>
  <r>
    <d v="2025-05-30T00:00:00"/>
    <n v="3610.58"/>
    <n v="3631.07"/>
    <n v="3632.06"/>
    <n v="3608.98"/>
    <s v="94.55K"/>
    <x v="580"/>
    <n v="3689.6749999999993"/>
    <n v="8.4039067299125844E-3"/>
    <x v="2"/>
  </r>
  <r>
    <d v="2025-06-03T00:00:00"/>
    <n v="3639.4"/>
    <n v="3635.3"/>
    <n v="3645.57"/>
    <n v="3619.13"/>
    <s v="90.75K"/>
    <x v="581"/>
    <n v="3697.1760000000004"/>
    <n v="7.192668395326807E-3"/>
    <x v="2"/>
  </r>
  <r>
    <d v="2025-06-04T00:00:00"/>
    <n v="3626.6"/>
    <n v="3664.04"/>
    <n v="3664.04"/>
    <n v="3615.77"/>
    <s v="91.85K"/>
    <x v="582"/>
    <n v="3703.5830000000001"/>
    <n v="7.0564430507423868E-3"/>
    <x v="2"/>
  </r>
  <r>
    <d v="2025-06-05T00:00:00"/>
    <n v="3663.41"/>
    <n v="3677.96"/>
    <n v="3678.19"/>
    <n v="3652.31"/>
    <s v="98.29K"/>
    <x v="583"/>
    <n v="3709.2525000000001"/>
    <n v="7.2539695948182319E-3"/>
    <x v="2"/>
  </r>
  <r>
    <d v="2025-06-06T00:00:00"/>
    <n v="3702.38"/>
    <n v="3697.93"/>
    <n v="3711.5"/>
    <n v="3682.84"/>
    <s v="114.36K"/>
    <x v="584"/>
    <n v="3714.0055000000002"/>
    <n v="7.0192509518636672E-3"/>
    <x v="2"/>
  </r>
  <r>
    <d v="2025-06-09T00:00:00"/>
    <n v="3667.55"/>
    <n v="3674.75"/>
    <n v="3689.53"/>
    <n v="3658.35"/>
    <s v="102.09K"/>
    <x v="585"/>
    <n v="3719.4880000000003"/>
    <n v="7.3124308156175917E-3"/>
    <x v="2"/>
  </r>
  <r>
    <d v="2025-06-10T00:00:00"/>
    <n v="3657.13"/>
    <n v="3696.25"/>
    <n v="3701.26"/>
    <n v="3655.59"/>
    <s v="99.16K"/>
    <x v="586"/>
    <n v="3727.1264999999999"/>
    <n v="6.8482213538968023E-3"/>
    <x v="2"/>
  </r>
  <r>
    <d v="2025-06-11T00:00:00"/>
    <n v="3684.73"/>
    <n v="3678.93"/>
    <n v="3694.17"/>
    <n v="3642"/>
    <s v="102.15K"/>
    <x v="587"/>
    <n v="3736.7175000000002"/>
    <n v="6.8484738590083626E-3"/>
    <x v="2"/>
  </r>
  <r>
    <d v="2025-06-12T00:00:00"/>
    <n v="3689.52"/>
    <n v="3711.21"/>
    <n v="3716.06"/>
    <n v="3685.3"/>
    <s v="85.22K"/>
    <x v="588"/>
    <n v="3742.0554999999999"/>
    <n v="7.7725402680435089E-3"/>
    <x v="2"/>
  </r>
  <r>
    <d v="2025-06-13T00:00:00"/>
    <n v="3700.5"/>
    <n v="3694.96"/>
    <n v="3731.14"/>
    <n v="3694.39"/>
    <s v="91.63K"/>
    <x v="589"/>
    <n v="3745.8430000000008"/>
    <n v="7.9952275496365036E-3"/>
    <x v="2"/>
  </r>
  <r>
    <d v="2025-06-16T00:00:00"/>
    <n v="3692.89"/>
    <n v="3711.71"/>
    <n v="3723.85"/>
    <n v="3692.62"/>
    <s v="78.05K"/>
    <x v="590"/>
    <n v="3750.2434999999996"/>
    <n v="8.0674280582435018E-3"/>
    <x v="2"/>
  </r>
  <r>
    <d v="2025-06-17T00:00:00"/>
    <n v="3714.6"/>
    <n v="3738.06"/>
    <n v="3738.06"/>
    <n v="3711.2"/>
    <s v="92.60K"/>
    <x v="591"/>
    <n v="3755.104499999999"/>
    <n v="8.0336231025113936E-3"/>
    <x v="2"/>
  </r>
  <r>
    <d v="2025-06-18T00:00:00"/>
    <n v="3738.93"/>
    <n v="3672.64"/>
    <n v="3740.42"/>
    <n v="3664.77"/>
    <s v="110.23K"/>
    <x v="592"/>
    <n v="3757.0054999999993"/>
    <n v="8.3321402583703789E-3"/>
    <x v="2"/>
  </r>
  <r>
    <d v="2025-06-19T00:00:00"/>
    <n v="3672.44"/>
    <n v="3698.31"/>
    <n v="3708.46"/>
    <n v="3672.44"/>
    <s v="83.03K"/>
    <x v="593"/>
    <n v="3755.5164999999988"/>
    <n v="8.6254898208242056E-3"/>
    <x v="2"/>
  </r>
  <r>
    <d v="2025-06-20T00:00:00"/>
    <n v="3705.69"/>
    <n v="3715.96"/>
    <n v="3718.52"/>
    <n v="3705.13"/>
    <s v="75.45K"/>
    <x v="594"/>
    <n v="3758.0659999999989"/>
    <n v="7.6244971845200668E-3"/>
    <x v="2"/>
  </r>
  <r>
    <d v="2025-06-23T00:00:00"/>
    <n v="3720.5"/>
    <n v="3723.42"/>
    <n v="3724.07"/>
    <n v="3702.69"/>
    <s v="83.20K"/>
    <x v="595"/>
    <n v="3757.6129999999998"/>
    <n v="7.5549543929295431E-3"/>
    <x v="2"/>
  </r>
  <r>
    <d v="2025-06-24T00:00:00"/>
    <n v="3727.71"/>
    <n v="3698.93"/>
    <n v="3737.53"/>
    <n v="3691.11"/>
    <s v="86.73K"/>
    <x v="596"/>
    <n v="3759.4994999999994"/>
    <n v="8.3997796751379243E-3"/>
    <x v="2"/>
  </r>
  <r>
    <d v="2025-06-25T00:00:00"/>
    <n v="3708.78"/>
    <n v="3740.79"/>
    <n v="3749.02"/>
    <n v="3699.38"/>
    <s v="109.40K"/>
    <x v="597"/>
    <n v="3759.5915"/>
    <n v="8.5863131174997546E-3"/>
    <x v="2"/>
  </r>
  <r>
    <d v="2025-06-26T00:00:00"/>
    <n v="3733.51"/>
    <n v="3736.94"/>
    <n v="3748.82"/>
    <n v="3717.31"/>
    <s v="100.39K"/>
    <x v="598"/>
    <n v="3763.3525"/>
    <n v="9.0798279165104512E-3"/>
    <x v="2"/>
  </r>
  <r>
    <d v="2025-06-27T00:00:00"/>
    <n v="3736.65"/>
    <n v="3759.61"/>
    <n v="3768.82"/>
    <n v="3719.11"/>
    <s v="81.58K"/>
    <x v="599"/>
    <n v="3768.2320000000009"/>
    <n v="9.3560003619901633E-3"/>
    <x v="2"/>
  </r>
  <r>
    <d v="2025-06-30T00:00:00"/>
    <n v="3760.6"/>
    <n v="3764.33"/>
    <n v="3775.09"/>
    <n v="3755.42"/>
    <s v="79.39K"/>
    <x v="600"/>
    <n v="3772.3160000000012"/>
    <n v="9.4139222944774042E-3"/>
    <x v="2"/>
  </r>
  <r>
    <d v="2025-07-01T00:00:00"/>
    <n v="3767.54"/>
    <n v="3740.58"/>
    <n v="3788.32"/>
    <n v="3734.72"/>
    <s v="105.36K"/>
    <x v="601"/>
    <n v="3776.6130000000003"/>
    <n v="9.4453306595405507E-3"/>
    <x v="2"/>
  </r>
  <r>
    <d v="2025-07-02T00:00:00"/>
    <n v="3739.99"/>
    <n v="3747.65"/>
    <n v="3753.26"/>
    <n v="3724.99"/>
    <s v="71.64K"/>
    <x v="602"/>
    <n v="3781.0315000000001"/>
    <n v="9.448466587475295E-3"/>
    <x v="2"/>
  </r>
  <r>
    <d v="2025-07-03T00:00:00"/>
    <n v="3758.47"/>
    <n v="3802.23"/>
    <n v="3802.23"/>
    <n v="3756.85"/>
    <s v="95.10K"/>
    <x v="603"/>
    <n v="3788.2445000000007"/>
    <n v="9.3209977084078265E-3"/>
    <x v="2"/>
  </r>
  <r>
    <d v="2025-07-04T00:00:00"/>
    <n v="3812.03"/>
    <n v="3808.1"/>
    <n v="3817.52"/>
    <n v="3790.9"/>
    <s v="93.44K"/>
    <x v="604"/>
    <n v="3799.107"/>
    <n v="1.0491947225568343E-2"/>
    <x v="3"/>
  </r>
  <r>
    <d v="2025-07-07T00:00:00"/>
    <n v="3820.32"/>
    <n v="3839.58"/>
    <n v="3839.58"/>
    <n v="3814.33"/>
    <s v="104.05K"/>
    <x v="605"/>
    <n v="3806.8840000000005"/>
    <n v="1.0189791961193831E-2"/>
    <x v="3"/>
  </r>
  <r>
    <d v="2025-07-08T00:00:00"/>
    <n v="3848.95"/>
    <n v="3812.99"/>
    <n v="3854.26"/>
    <n v="3804.59"/>
    <s v="142.39K"/>
    <x v="606"/>
    <n v="3814.8545000000004"/>
    <n v="1.0192305598724694E-2"/>
    <x v="3"/>
  </r>
  <r>
    <d v="2025-07-09T00:00:00"/>
    <n v="3791.49"/>
    <n v="3778.91"/>
    <n v="3808.53"/>
    <n v="3778.91"/>
    <s v="105.32K"/>
    <x v="607"/>
    <n v="3821.9145000000003"/>
    <n v="1.0114386902842117E-2"/>
    <x v="3"/>
  </r>
  <r>
    <d v="2025-07-10T00:00:00"/>
    <n v="3765.27"/>
    <n v="3786.93"/>
    <n v="3794"/>
    <n v="3762"/>
    <s v="118.96K"/>
    <x v="608"/>
    <n v="3833.3690000000001"/>
    <n v="9.3753669218056956E-3"/>
    <x v="2"/>
  </r>
  <r>
    <d v="2025-07-11T00:00:00"/>
    <n v="3788.51"/>
    <n v="3803.12"/>
    <n v="3813.7"/>
    <n v="3780.24"/>
    <s v="129.67K"/>
    <x v="609"/>
    <n v="3845.3544999999999"/>
    <n v="9.230202599626456E-3"/>
    <x v="2"/>
  </r>
  <r>
    <d v="2025-07-14T00:00:00"/>
    <n v="3790.11"/>
    <n v="3743.05"/>
    <n v="3810.38"/>
    <n v="3742.08"/>
    <s v="152.49K"/>
    <x v="610"/>
    <n v="3854.424"/>
    <n v="9.5689019558462228E-3"/>
    <x v="3"/>
  </r>
  <r>
    <d v="2025-07-15T00:00:00"/>
    <n v="3752.62"/>
    <n v="3911.55"/>
    <n v="3911.55"/>
    <n v="3740.53"/>
    <s v="197.99K"/>
    <x v="611"/>
    <n v="3864.8185000000003"/>
    <n v="9.6127141315020502E-3"/>
    <x v="3"/>
  </r>
  <r>
    <d v="2025-07-16T00:00:00"/>
    <n v="3709.15"/>
    <n v="3703.51"/>
    <n v="3734.22"/>
    <n v="3695.84"/>
    <s v="105.18K"/>
    <x v="612"/>
    <n v="3877.9190000000003"/>
    <n v="9.1447698421897455E-3"/>
    <x v="2"/>
  </r>
  <r>
    <d v="2025-07-17T00:00:00"/>
    <n v="3723.43"/>
    <n v="3711.54"/>
    <n v="3748.86"/>
    <n v="3701.57"/>
    <s v="119.62K"/>
    <x v="613"/>
    <n v="3892.098500000001"/>
    <n v="8.7076425648184123E-3"/>
    <x v="2"/>
  </r>
  <r>
    <d v="2025-07-18T00:00:00"/>
    <n v="3696.63"/>
    <n v="3751.77"/>
    <n v="3756.17"/>
    <n v="3695.03"/>
    <s v="97.08K"/>
    <x v="614"/>
    <n v="3901.0445000000013"/>
    <n v="1.051477536962055E-2"/>
    <x v="3"/>
  </r>
  <r>
    <d v="2025-07-21T00:00:00"/>
    <n v="3758.23"/>
    <n v="3748.07"/>
    <n v="3770.06"/>
    <n v="3704.68"/>
    <s v="120.32K"/>
    <x v="615"/>
    <n v="3911.5635000000011"/>
    <n v="1.0276276410561488E-2"/>
    <x v="3"/>
  </r>
  <r>
    <d v="2025-07-22T00:00:00"/>
    <n v="3729.55"/>
    <n v="3773.23"/>
    <n v="3782.11"/>
    <n v="3729.55"/>
    <s v="98.71K"/>
    <x v="616"/>
    <n v="3919.4080000000004"/>
    <n v="9.7460944436774943E-3"/>
    <x v="3"/>
  </r>
  <r>
    <d v="2025-07-23T00:00:00"/>
    <n v="3784"/>
    <n v="3832.46"/>
    <n v="3844.2"/>
    <n v="3784"/>
    <s v="95.55K"/>
    <x v="617"/>
    <n v="3923.1914999999999"/>
    <n v="1.1695929528176136E-2"/>
    <x v="3"/>
  </r>
  <r>
    <d v="2025-07-24T00:00:00"/>
    <n v="3831.1"/>
    <n v="3801.2"/>
    <n v="3836.15"/>
    <n v="3782.5"/>
    <s v="98.42K"/>
    <x v="618"/>
    <n v="3925.0870000000004"/>
    <n v="1.129003559861674E-2"/>
    <x v="3"/>
  </r>
  <r>
    <d v="2025-07-25T00:00:00"/>
    <n v="3818.33"/>
    <n v="3830.83"/>
    <n v="3852.42"/>
    <n v="3817.63"/>
    <s v="94.62K"/>
    <x v="619"/>
    <n v="3924.7165"/>
    <n v="1.093845672771125E-2"/>
    <x v="3"/>
  </r>
  <r>
    <d v="2025-07-28T00:00:00"/>
    <n v="3846.54"/>
    <n v="3858.37"/>
    <n v="3865.28"/>
    <n v="3811.68"/>
    <s v="103.10K"/>
    <x v="620"/>
    <n v="3926.3435000000004"/>
    <n v="1.1021845891182264E-2"/>
    <x v="3"/>
  </r>
  <r>
    <d v="2025-07-29T00:00:00"/>
    <n v="3855.91"/>
    <n v="3840.89"/>
    <n v="3859.47"/>
    <n v="3814.07"/>
    <s v="115.97K"/>
    <x v="621"/>
    <n v="3926.7635"/>
    <n v="1.0903353617317176E-2"/>
    <x v="3"/>
  </r>
  <r>
    <d v="2025-07-30T00:00:00"/>
    <n v="3884.25"/>
    <n v="3977.98"/>
    <n v="3977.98"/>
    <n v="3884.25"/>
    <s v="126.08K"/>
    <x v="622"/>
    <n v="3927.3265000000001"/>
    <n v="1.0912665177422369E-2"/>
    <x v="3"/>
  </r>
  <r>
    <d v="2025-07-31T00:00:00"/>
    <n v="3975.72"/>
    <n v="3962.86"/>
    <n v="3976.46"/>
    <n v="3945.39"/>
    <s v="97.18K"/>
    <x v="623"/>
    <n v="3928.0690000000004"/>
    <n v="1.0945761075366673E-2"/>
    <x v="3"/>
  </r>
  <r>
    <d v="2025-08-01T00:00:00"/>
    <n v="3967.57"/>
    <n v="3967.36"/>
    <n v="3982.11"/>
    <n v="3961.84"/>
    <s v="94.64K"/>
    <x v="624"/>
    <n v="3924.2040000000006"/>
    <n v="9.4743197345350059E-3"/>
    <x v="2"/>
  </r>
  <r>
    <d v="2025-08-04T00:00:00"/>
    <n v="3979.73"/>
    <n v="3980.04"/>
    <n v="4002.29"/>
    <n v="3963.46"/>
    <s v="109.87K"/>
    <x v="625"/>
    <n v="3917.9975000000013"/>
    <n v="9.9215620264044985E-3"/>
    <x v="3"/>
  </r>
  <r>
    <d v="2025-08-05T00:00:00"/>
    <n v="3990.15"/>
    <n v="4002.97"/>
    <n v="4002.97"/>
    <n v="3977.02"/>
    <s v="121.31K"/>
    <x v="626"/>
    <n v="3912.4855000000011"/>
    <n v="1.0046229049206932E-2"/>
    <x v="3"/>
  </r>
  <r>
    <d v="2025-08-06T00:00:00"/>
    <n v="4020.58"/>
    <n v="4033.72"/>
    <n v="4058.24"/>
    <n v="4011.62"/>
    <s v="178.27K"/>
    <x v="627"/>
    <n v="3905.1945000000005"/>
    <n v="1.0063359495679767E-2"/>
    <x v="3"/>
  </r>
  <r>
    <d v="2025-08-07T00:00:00"/>
    <n v="4004.98"/>
    <n v="3962.13"/>
    <n v="4005"/>
    <n v="3962.13"/>
    <s v="129.01K"/>
    <x v="628"/>
    <n v="3895.4505000000004"/>
    <n v="9.8315316196942396E-3"/>
    <x v="3"/>
  </r>
  <r>
    <d v="2025-08-08T00:00:00"/>
    <n v="3969.9"/>
    <n v="3985.7"/>
    <n v="4008.33"/>
    <n v="3958.51"/>
    <s v="125.86K"/>
    <x v="629"/>
    <n v="3887.3389999999999"/>
    <n v="9.9431261154086063E-3"/>
    <x v="3"/>
  </r>
  <r>
    <d v="2025-08-11T00:00:00"/>
    <n v="3998"/>
    <n v="4009.18"/>
    <n v="4031.7"/>
    <n v="3983.03"/>
    <s v="142.29K"/>
    <x v="630"/>
    <n v="3882.2844999999993"/>
    <n v="9.9956873137686079E-3"/>
    <x v="3"/>
  </r>
  <r>
    <d v="2025-08-12T00:00:00"/>
    <n v="4014.63"/>
    <n v="4018.89"/>
    <n v="4064.36"/>
    <n v="4002.08"/>
    <s v="199.61K"/>
    <x v="631"/>
    <n v="3877.335"/>
    <n v="1.0028835396169094E-2"/>
    <x v="3"/>
  </r>
  <r>
    <d v="2025-08-13T00:00:00"/>
    <n v="3992.74"/>
    <n v="3889.79"/>
    <n v="4000.92"/>
    <n v="3886.55"/>
    <s v="179.74K"/>
    <x v="632"/>
    <n v="3871.2474999999999"/>
    <n v="9.9490612745375372E-3"/>
    <x v="3"/>
  </r>
  <r>
    <d v="2025-08-14T00:00:00"/>
    <n v="3902.35"/>
    <n v="3914.23"/>
    <n v="3935.36"/>
    <n v="3894.69"/>
    <s v="110.67K"/>
    <x v="633"/>
    <n v="3863.7329999999993"/>
    <n v="1.02433382757705E-2"/>
    <x v="3"/>
  </r>
  <r>
    <d v="2025-08-15T00:00:00"/>
    <n v="3907.01"/>
    <n v="3908.17"/>
    <n v="3912.98"/>
    <n v="3893.4"/>
    <s v="107.88K"/>
    <x v="634"/>
    <n v="3859.7074999999995"/>
    <n v="9.059488653046106E-3"/>
    <x v="2"/>
  </r>
  <r>
    <d v="2025-08-18T00:00:00"/>
    <n v="3915.12"/>
    <n v="3866.64"/>
    <n v="3915.81"/>
    <n v="3866.64"/>
    <s v="163.07K"/>
    <x v="635"/>
    <n v="3856.3969999999995"/>
    <n v="9.1462962249428004E-3"/>
    <x v="2"/>
  </r>
  <r>
    <d v="2025-08-19T00:00:00"/>
    <n v="3805.22"/>
    <n v="3803.35"/>
    <n v="3828.79"/>
    <n v="3798.8"/>
    <s v="75.48K"/>
    <x v="636"/>
    <n v="3852.9124999999995"/>
    <n v="9.1338858345665786E-3"/>
    <x v="2"/>
  </r>
  <r>
    <d v="2025-08-20T00:00:00"/>
    <n v="3821.91"/>
    <n v="3816.98"/>
    <n v="3849.51"/>
    <n v="3808.8"/>
    <s v="79.51K"/>
    <x v="637"/>
    <n v="3853.1364999999992"/>
    <n v="6.8751180340033222E-3"/>
    <x v="2"/>
  </r>
  <r>
    <d v="2025-08-21T00:00:00"/>
    <n v="3823.69"/>
    <n v="3857.77"/>
    <n v="3875.62"/>
    <n v="3818.71"/>
    <s v="92.04K"/>
    <x v="638"/>
    <n v="3855.2424999999994"/>
    <n v="7.5244609684645336E-3"/>
    <x v="2"/>
  </r>
  <r>
    <d v="2025-08-22T00:00:00"/>
    <n v="3850.87"/>
    <n v="3848.48"/>
    <n v="3860.01"/>
    <n v="3830.41"/>
    <s v="79.59K"/>
    <x v="639"/>
    <n v="3860.2699999999995"/>
    <n v="8.2382542943781299E-3"/>
    <x v="2"/>
  </r>
  <r>
    <d v="2025-08-25T00:00:00"/>
    <n v="3854.94"/>
    <n v="3871.04"/>
    <n v="3871.04"/>
    <n v="3844.51"/>
    <s v="91.44K"/>
    <x v="640"/>
    <n v="3864.2719999999999"/>
    <n v="8.1266386865978864E-3"/>
    <x v="2"/>
  </r>
  <r>
    <d v="2025-08-26T00:00:00"/>
    <n v="3867.17"/>
    <n v="3881.62"/>
    <n v="3881.62"/>
    <n v="3852.26"/>
    <s v="98.34K"/>
    <x v="641"/>
    <n v="3869.692500000001"/>
    <n v="8.2842260187154272E-3"/>
    <x v="2"/>
  </r>
  <r>
    <d v="2025-08-27T00:00:00"/>
    <n v="3899.1"/>
    <n v="3904.6"/>
    <n v="3908.49"/>
    <n v="3893.79"/>
    <s v="122.37K"/>
    <x v="642"/>
    <n v="3872.6090000000004"/>
    <n v="8.6240876140565043E-3"/>
    <x v="2"/>
  </r>
  <r>
    <d v="2025-08-28T00:00:00"/>
    <n v="3898.42"/>
    <n v="3855.66"/>
    <n v="3901.1"/>
    <n v="3855.66"/>
    <s v="120.30K"/>
    <x v="643"/>
    <n v="3870.8550000000005"/>
    <n v="9.1741780191257529E-3"/>
    <x v="2"/>
  </r>
  <r>
    <d v="2025-08-29T00:00:00"/>
    <n v="3843.44"/>
    <n v="3864.6"/>
    <n v="3874.04"/>
    <n v="3838.56"/>
    <s v="111.52K"/>
    <x v="644"/>
    <n v="3869.1795000000006"/>
    <n v="9.175175506096098E-3"/>
    <x v="2"/>
  </r>
  <r>
    <d v="2025-09-01T00:00:00"/>
    <n v="3869.49"/>
    <n v="3853.8"/>
    <n v="3870.65"/>
    <n v="3844.52"/>
    <s v="86.51K"/>
    <x v="645"/>
    <n v="3869.2290000000003"/>
    <n v="8.6805647516605359E-3"/>
    <x v="2"/>
  </r>
  <r>
    <d v="2025-09-02T00:00:00"/>
    <n v="3844.33"/>
    <n v="3841.56"/>
    <n v="3865.46"/>
    <n v="3831.92"/>
    <s v="92.03K"/>
    <x v="646"/>
    <n v="3867.5894999999991"/>
    <n v="8.5433571618177117E-3"/>
    <x v="2"/>
  </r>
  <r>
    <d v="2025-09-03T00:00:00"/>
    <n v="3825.7"/>
    <n v="3831.6"/>
    <n v="3844.84"/>
    <n v="3819.08"/>
    <s v="100.91K"/>
    <x v="647"/>
    <n v="3866.3824999999988"/>
    <n v="8.4744390042188148E-3"/>
    <x v="2"/>
  </r>
  <r>
    <d v="2025-09-04T00:00:00"/>
    <n v="3842.75"/>
    <n v="3857.03"/>
    <n v="3876.89"/>
    <n v="3836.46"/>
    <s v="100.12K"/>
    <x v="648"/>
    <n v="3864.564499999999"/>
    <n v="8.5958997369282794E-3"/>
    <x v="2"/>
  </r>
  <r>
    <d v="2025-09-05T00:00:00"/>
    <n v="3868.81"/>
    <n v="3895.19"/>
    <n v="3899.52"/>
    <n v="3864.13"/>
    <s v="97.64K"/>
    <x v="649"/>
    <n v="3862.8350000000005"/>
    <n v="8.6119345992175939E-3"/>
    <x v="2"/>
  </r>
  <r>
    <d v="2025-09-08T00:00:00"/>
    <n v="3899.01"/>
    <n v="3888.03"/>
    <n v="3899.98"/>
    <n v="3878.4"/>
    <s v="109.50K"/>
    <x v="650"/>
    <n v="3861.6069999999991"/>
    <n v="8.7504893654139042E-3"/>
    <x v="2"/>
  </r>
  <r>
    <d v="2025-09-09T00:00:00"/>
    <n v="3892.88"/>
    <n v="3853.29"/>
    <n v="3897.33"/>
    <n v="3853.29"/>
    <s v="133.16K"/>
    <x v="651"/>
    <n v="3859.7480000000005"/>
    <n v="8.6221353845324176E-3"/>
    <x v="2"/>
  </r>
  <r>
    <d v="2025-09-10T00:00:00"/>
    <n v="3842.45"/>
    <n v="3816.33"/>
    <n v="3860.03"/>
    <n v="3813.55"/>
    <s v="101.27K"/>
    <x v="652"/>
    <n v="3855.4474999999998"/>
    <n v="9.1574062772437747E-3"/>
    <x v="2"/>
  </r>
  <r>
    <d v="2025-09-11T00:00:00"/>
    <n v="3821.84"/>
    <n v="3836.73"/>
    <n v="3840.71"/>
    <n v="3817.38"/>
    <s v="98.29K"/>
    <x v="653"/>
    <n v="3853.2519999999995"/>
    <n v="8.7288440800686214E-3"/>
    <x v="2"/>
  </r>
  <r>
    <d v="2025-09-12T00:00:00"/>
    <n v="3840.8"/>
    <n v="3836.61"/>
    <n v="3846.85"/>
    <n v="3808.16"/>
    <s v="107.02K"/>
    <x v="654"/>
    <n v="3854.0474999999997"/>
    <n v="8.9737300826497005E-3"/>
    <x v="2"/>
  </r>
  <r>
    <d v="2025-09-15T00:00:00"/>
    <n v="3845.43"/>
    <n v="3811.69"/>
    <n v="3851.9"/>
    <n v="3806.32"/>
    <s v="116.99K"/>
    <x v="655"/>
    <n v="3853.7044999999998"/>
    <n v="8.9075959463506861E-3"/>
    <x v="2"/>
  </r>
  <r>
    <d v="2025-09-16T00:00:00"/>
    <n v="3809.7"/>
    <n v="3833.44"/>
    <n v="3841.29"/>
    <n v="3801.05"/>
    <s v="133.99K"/>
    <x v="656"/>
    <n v="3853.9805000000001"/>
    <n v="8.9607422054695865E-3"/>
    <x v="2"/>
  </r>
  <r>
    <d v="2025-09-17T00:00:00"/>
    <n v="3864.03"/>
    <n v="3909.1"/>
    <n v="3920.13"/>
    <n v="3864.03"/>
    <s v="118.35K"/>
    <x v="657"/>
    <n v="3856.0205000000001"/>
    <n v="8.6847088127432557E-3"/>
    <x v="2"/>
  </r>
  <r>
    <d v="2025-09-18T00:00:00"/>
    <n v="3924.24"/>
    <n v="3926.09"/>
    <n v="3937.49"/>
    <n v="3918.47"/>
    <s v="122.52K"/>
    <x v="658"/>
    <n v="3855.7735000000002"/>
    <n v="8.0821614401755688E-3"/>
    <x v="2"/>
  </r>
  <r>
    <d v="2025-09-19T00:00:00"/>
    <n v="3930.91"/>
    <n v="3957.03"/>
    <n v="3957.03"/>
    <n v="3922.47"/>
    <s v="134.91K"/>
    <x v="659"/>
    <n v="3855.2210000000005"/>
    <n v="7.9293065362300193E-3"/>
    <x v="2"/>
  </r>
  <r>
    <d v="2025-09-22T00:00:00"/>
    <n v="3963.35"/>
    <n v="3932.21"/>
    <n v="3968.01"/>
    <n v="3928.54"/>
    <s v="139.76K"/>
    <x v="660"/>
    <n v="3857.1420000000007"/>
    <n v="8.5604520043893843E-3"/>
    <x v="2"/>
  </r>
  <r>
    <d v="2025-09-23T00:00:00"/>
    <n v="3925.5"/>
    <n v="3871.77"/>
    <n v="3925.5"/>
    <n v="3871.77"/>
    <s v="128.37K"/>
    <x v="661"/>
    <n v="3856.2015000000001"/>
    <n v="8.4848186250475795E-3"/>
    <x v="2"/>
  </r>
  <r>
    <d v="2025-09-24T00:00:00"/>
    <n v="3864.02"/>
    <n v="3872.72"/>
    <n v="3891.67"/>
    <n v="3862.06"/>
    <s v="124.96K"/>
    <x v="662"/>
    <n v="3857.7300000000005"/>
    <n v="8.215817181295151E-3"/>
    <x v="2"/>
  </r>
  <r>
    <d v="2025-09-25T00:00:00"/>
    <n v="3864.91"/>
    <n v="3838.13"/>
    <n v="3867.3"/>
    <n v="3833.46"/>
    <s v="110.93K"/>
    <x v="663"/>
    <n v="3862.5374999999999"/>
    <n v="7.2920662716484388E-3"/>
    <x v="2"/>
  </r>
  <r>
    <d v="2025-09-26T00:00:00"/>
    <n v="3844.43"/>
    <n v="3827.33"/>
    <n v="3859.72"/>
    <n v="3813.86"/>
    <s v="126.76K"/>
    <x v="664"/>
    <n v="3868.2025000000003"/>
    <n v="7.3241424499974894E-3"/>
    <x v="2"/>
  </r>
  <r>
    <d v="2025-09-29T00:00:00"/>
    <n v="3836.7"/>
    <n v="3822.41"/>
    <n v="3836.7"/>
    <n v="3811.22"/>
    <s v="134.32K"/>
    <x v="665"/>
    <n v="3875.9255000000003"/>
    <n v="7.1883145796996124E-3"/>
    <x v="2"/>
  </r>
  <r>
    <d v="2025-09-30T00:00:00"/>
    <n v="3820.19"/>
    <n v="3791.08"/>
    <n v="3834.39"/>
    <n v="3777.78"/>
    <s v="118.70K"/>
    <x v="666"/>
    <n v="3880.9785000000002"/>
    <n v="8.1291978776271527E-3"/>
    <x v="2"/>
  </r>
  <r>
    <d v="2025-10-09T00:00:00"/>
    <n v="3789.34"/>
    <n v="3815.48"/>
    <n v="3823.11"/>
    <n v="3780.1"/>
    <s v="98.86K"/>
    <x v="667"/>
    <n v="3889.5020000000004"/>
    <n v="8.4434918188962139E-3"/>
    <x v="2"/>
  </r>
  <r>
    <d v="2025-10-10T00:00:00"/>
    <n v="3808.16"/>
    <n v="3840.46"/>
    <n v="3867.85"/>
    <n v="3802.84"/>
    <s v="125.78K"/>
    <x v="668"/>
    <n v="3899.8785000000003"/>
    <n v="8.0928188300325408E-3"/>
    <x v="2"/>
  </r>
  <r>
    <d v="2025-10-13T00:00:00"/>
    <n v="3844.25"/>
    <n v="3860.56"/>
    <n v="3860.56"/>
    <n v="3832.46"/>
    <s v="116.16K"/>
    <x v="669"/>
    <n v="3910.8645000000006"/>
    <n v="8.1577825068142699E-3"/>
    <x v="2"/>
  </r>
  <r>
    <d v="2025-10-14T00:00:00"/>
    <n v="3861.83"/>
    <n v="3821.62"/>
    <n v="3865.28"/>
    <n v="3821.62"/>
    <s v="125.02K"/>
    <x v="670"/>
    <n v="3921.7850000000008"/>
    <n v="8.123823887784095E-3"/>
    <x v="2"/>
  </r>
  <r>
    <d v="2025-10-15T00:00:00"/>
    <n v="3806.87"/>
    <n v="3788.59"/>
    <n v="3832.21"/>
    <n v="3786.73"/>
    <s v="134.56K"/>
    <x v="671"/>
    <n v="3929.5374999999999"/>
    <n v="8.6939373028844923E-3"/>
    <x v="2"/>
  </r>
  <r>
    <d v="2025-10-16T00:00:00"/>
    <n v="3798.54"/>
    <n v="3827.16"/>
    <n v="3827.16"/>
    <n v="3781.4"/>
    <s v="126.39K"/>
    <x v="672"/>
    <n v="3940.7065000000002"/>
    <n v="7.8094908637693396E-3"/>
    <x v="2"/>
  </r>
  <r>
    <d v="2025-10-17T00:00:00"/>
    <n v="3837.75"/>
    <n v="3827.79"/>
    <n v="3844.01"/>
    <n v="3789.27"/>
    <s v="137.62K"/>
    <x v="673"/>
    <n v="3952.2340000000004"/>
    <n v="7.7559065798564544E-3"/>
    <x v="2"/>
  </r>
  <r>
    <d v="2025-10-20T00:00:00"/>
    <n v="3833.94"/>
    <n v="3862.08"/>
    <n v="3866.72"/>
    <n v="3819.18"/>
    <s v="131.86K"/>
    <x v="674"/>
    <n v="3959.7675000000004"/>
    <n v="8.0755344454964198E-3"/>
    <x v="2"/>
  </r>
  <r>
    <d v="2025-10-21T00:00:00"/>
    <n v="3850.95"/>
    <n v="3848.42"/>
    <n v="3859.63"/>
    <n v="3815.57"/>
    <s v="100.33K"/>
    <x v="675"/>
    <n v="3966.0319999999992"/>
    <n v="8.3174626837958596E-3"/>
    <x v="2"/>
  </r>
  <r>
    <d v="2025-10-22T00:00:00"/>
    <n v="3850.5"/>
    <n v="3851.41"/>
    <n v="3861.38"/>
    <n v="3817.84"/>
    <s v="124.15K"/>
    <x v="676"/>
    <n v="3971.6179999999999"/>
    <n v="8.2925916396651943E-3"/>
    <x v="2"/>
  </r>
  <r>
    <d v="2025-10-23T00:00:00"/>
    <n v="3859.09"/>
    <n v="3903.78"/>
    <n v="3903.78"/>
    <n v="3859.09"/>
    <s v="137.26K"/>
    <x v="677"/>
    <n v="3978.2249999999999"/>
    <n v="8.3209769704616927E-3"/>
    <x v="2"/>
  </r>
  <r>
    <d v="2025-10-24T00:00:00"/>
    <n v="3913.19"/>
    <n v="3968.23"/>
    <n v="3971.94"/>
    <n v="3913.19"/>
    <s v="118.69K"/>
    <x v="678"/>
    <n v="3986.8990000000003"/>
    <n v="8.6661443849145505E-3"/>
    <x v="2"/>
  </r>
  <r>
    <d v="2025-10-27T00:00:00"/>
    <n v="3969.33"/>
    <n v="3941"/>
    <n v="3985.4"/>
    <n v="3935.8"/>
    <s v="109.12K"/>
    <x v="679"/>
    <n v="3996.8905000000004"/>
    <n v="9.176984632093892E-3"/>
    <x v="2"/>
  </r>
  <r>
    <d v="2025-10-28T00:00:00"/>
    <n v="3944.54"/>
    <n v="3946.22"/>
    <n v="3967.28"/>
    <n v="3928.32"/>
    <s v="120.21K"/>
    <x v="680"/>
    <n v="4004.6520000000005"/>
    <n v="8.7479024276764933E-3"/>
    <x v="2"/>
  </r>
  <r>
    <d v="2025-10-29T00:00:00"/>
    <n v="3956.07"/>
    <n v="3965.52"/>
    <n v="3982.72"/>
    <n v="3939.55"/>
    <s v="136.53K"/>
    <x v="681"/>
    <n v="4015.5264999999999"/>
    <n v="8.6626432475658734E-3"/>
    <x v="2"/>
  </r>
  <r>
    <d v="2025-10-30T00:00:00"/>
    <n v="3960.17"/>
    <n v="3971.7"/>
    <n v="3982.6"/>
    <n v="3945.71"/>
    <s v="118.45K"/>
    <x v="682"/>
    <n v="4025.1920000000005"/>
    <n v="8.7574656460434816E-3"/>
    <x v="2"/>
  </r>
  <r>
    <d v="2025-10-31T00:00:00"/>
    <n v="3978.21"/>
    <n v="4002.52"/>
    <n v="4005.01"/>
    <n v="3966.99"/>
    <s v="136.83K"/>
    <x v="683"/>
    <n v="4031.7835"/>
    <n v="9.4822876575138184E-3"/>
    <x v="2"/>
  </r>
  <r>
    <d v="2025-11-03T00:00:00"/>
    <n v="3998.89"/>
    <n v="3938.83"/>
    <n v="3998.89"/>
    <n v="3923.03"/>
    <s v="176.26K"/>
    <x v="684"/>
    <n v="4036.3220000000001"/>
    <n v="9.5925177642671167E-3"/>
    <x v="3"/>
  </r>
  <r>
    <d v="2025-11-04T00:00:00"/>
    <n v="3937.76"/>
    <n v="3987.77"/>
    <n v="3999.38"/>
    <n v="3937.53"/>
    <s v="144.42K"/>
    <x v="685"/>
    <n v="4041.2419999999997"/>
    <n v="9.6393290300442955E-3"/>
    <x v="3"/>
  </r>
  <r>
    <d v="2025-11-05T00:00:00"/>
    <n v="3990.66"/>
    <n v="4005.78"/>
    <n v="4018.06"/>
    <n v="3988.48"/>
    <s v="144.81K"/>
    <x v="686"/>
    <n v="4049.3614999999991"/>
    <n v="8.8232731295861868E-3"/>
    <x v="2"/>
  </r>
  <r>
    <d v="2025-11-06T00:00:00"/>
    <n v="3996.87"/>
    <n v="4017.94"/>
    <n v="4019.06"/>
    <n v="3984.63"/>
    <s v="207.55K"/>
    <x v="687"/>
    <n v="4055.0689999999995"/>
    <n v="8.4075904516822848E-3"/>
    <x v="2"/>
  </r>
  <r>
    <d v="2025-11-07T00:00:00"/>
    <n v="4027.88"/>
    <n v="4065.44"/>
    <n v="4092.85"/>
    <n v="4026.39"/>
    <s v="279.31K"/>
    <x v="688"/>
    <n v="4061.3894999999989"/>
    <n v="8.4353611148854542E-3"/>
    <x v="2"/>
  </r>
  <r>
    <d v="2025-11-10T00:00:00"/>
    <n v="4062.66"/>
    <n v="4028.11"/>
    <n v="4070.77"/>
    <n v="4018.96"/>
    <s v="255.58K"/>
    <x v="689"/>
    <n v="4064.8275000000003"/>
    <n v="8.4873240216817927E-3"/>
    <x v="2"/>
  </r>
  <r>
    <d v="2025-11-11T00:00:00"/>
    <n v="4016.88"/>
    <n v="4031.09"/>
    <n v="4047.6"/>
    <n v="3998.39"/>
    <s v="206.63K"/>
    <x v="690"/>
    <n v="4066.8495000000003"/>
    <n v="8.2924461360560798E-3"/>
    <x v="2"/>
  </r>
  <r>
    <d v="2025-11-12T00:00:00"/>
    <n v="4030.25"/>
    <n v="4013.47"/>
    <n v="4035.78"/>
    <n v="4001.13"/>
    <s v="227.58K"/>
    <x v="691"/>
    <n v="4070.5340000000006"/>
    <n v="7.8700882131682338E-3"/>
    <x v="2"/>
  </r>
  <r>
    <d v="2025-11-13T00:00:00"/>
    <n v="4029.09"/>
    <n v="3993.26"/>
    <n v="4030.45"/>
    <n v="3993.26"/>
    <s v="179.51K"/>
    <x v="692"/>
    <n v="4071.5680000000007"/>
    <n v="8.1937821982393695E-3"/>
    <x v="2"/>
  </r>
  <r>
    <d v="2025-11-14T00:00:00"/>
    <n v="3988.42"/>
    <n v="3948.03"/>
    <n v="3999.13"/>
    <n v="3942.82"/>
    <s v="153.83K"/>
    <x v="693"/>
    <n v="4072.04"/>
    <n v="8.2274307170565192E-3"/>
    <x v="2"/>
  </r>
  <r>
    <d v="2025-11-17T00:00:00"/>
    <n v="3959.23"/>
    <n v="3950.26"/>
    <n v="3975.66"/>
    <n v="3934.66"/>
    <s v="162.70K"/>
    <x v="694"/>
    <n v="4072.9259999999995"/>
    <n v="8.1036768103260378E-3"/>
    <x v="2"/>
  </r>
  <r>
    <d v="2025-11-18T00:00:00"/>
    <n v="3962.67"/>
    <n v="3985.11"/>
    <n v="3991.69"/>
    <n v="3925.44"/>
    <s v="172.56K"/>
    <x v="695"/>
    <n v="4074.9399999999996"/>
    <n v="7.9220893503325219E-3"/>
    <x v="2"/>
  </r>
  <r>
    <d v="2025-11-19T00:00:00"/>
    <n v="3982.64"/>
    <n v="4031.3"/>
    <n v="4033.64"/>
    <n v="3967.91"/>
    <s v="170.10K"/>
    <x v="696"/>
    <n v="4077.4304999999995"/>
    <n v="7.9450924051189531E-3"/>
    <x v="2"/>
  </r>
  <r>
    <d v="2025-11-20T00:00:00"/>
    <n v="4032.57"/>
    <n v="4114.26"/>
    <n v="4114.26"/>
    <n v="4031.91"/>
    <s v="180.80K"/>
    <x v="697"/>
    <n v="4079.6509999999994"/>
    <n v="7.9103487440276236E-3"/>
    <x v="2"/>
  </r>
  <r>
    <d v="2025-11-21T00:00:00"/>
    <n v="4113.0200000000004"/>
    <n v="4122.95"/>
    <n v="4125.82"/>
    <n v="4094"/>
    <s v="162.71K"/>
    <x v="698"/>
    <n v="4079.9769999999999"/>
    <n v="7.4242198038405299E-3"/>
    <x v="2"/>
  </r>
  <r>
    <d v="2025-11-24T00:00:00"/>
    <n v="4124.5600000000004"/>
    <n v="4159.3900000000003"/>
    <n v="4159.3900000000003"/>
    <n v="4118.63"/>
    <s v="162.56K"/>
    <x v="699"/>
    <n v="4074.2979999999998"/>
    <n v="6.1029882535888732E-3"/>
    <x v="2"/>
  </r>
  <r>
    <d v="2025-11-25T00:00:00"/>
    <n v="4162.03"/>
    <n v="4139.3100000000004"/>
    <n v="4169.67"/>
    <n v="4138.46"/>
    <s v="170.18K"/>
    <x v="700"/>
    <n v="4067.1890000000008"/>
    <n v="6.0522664501878173E-3"/>
    <x v="2"/>
  </r>
  <r>
    <d v="2025-11-26T00:00:00"/>
    <n v="4149.38"/>
    <n v="4090.07"/>
    <n v="4149.38"/>
    <n v="4089.51"/>
    <s v="188.77K"/>
    <x v="701"/>
    <n v="4056.0415000000007"/>
    <n v="5.8150915238450529E-3"/>
    <x v="2"/>
  </r>
  <r>
    <d v="2025-11-27T00:00:00"/>
    <n v="4092"/>
    <n v="4078.97"/>
    <n v="4098.22"/>
    <n v="4075.2"/>
    <s v="150.70K"/>
    <x v="702"/>
    <n v="4046.5135000000009"/>
    <n v="6.0659905591578705E-3"/>
    <x v="2"/>
  </r>
  <r>
    <d v="2025-11-28T00:00:00"/>
    <n v="4068.98"/>
    <n v="4081.39"/>
    <n v="4088.88"/>
    <n v="4059.57"/>
    <s v="156.44K"/>
    <x v="703"/>
    <n v="4038.8710000000005"/>
    <n v="5.4770102045905754E-3"/>
    <x v="2"/>
  </r>
  <r>
    <d v="2025-12-01T00:00:00"/>
    <n v="4097.29"/>
    <n v="4102.3999999999996"/>
    <n v="4108.25"/>
    <n v="4090.28"/>
    <s v="165.97K"/>
    <x v="704"/>
    <n v="4034.7669999999998"/>
    <n v="6.2259691672661875E-3"/>
    <x v="2"/>
  </r>
  <r>
    <d v="2025-12-02T00:00:00"/>
    <n v="4100.1499999999996"/>
    <n v="4108.51"/>
    <n v="4116.12"/>
    <n v="4083.49"/>
    <s v="153.90K"/>
    <x v="705"/>
    <n v="4029.1374999999994"/>
    <n v="5.9407194212025777E-3"/>
    <x v="2"/>
  </r>
  <r>
    <d v="2025-12-03T00:00:00"/>
    <n v="4104.8100000000004"/>
    <n v="4132.01"/>
    <n v="4132.3"/>
    <n v="4099.05"/>
    <s v="152.45K"/>
    <x v="706"/>
    <n v="4024.5644999999995"/>
    <n v="6.1538839911006327E-3"/>
    <x v="2"/>
  </r>
  <r>
    <d v="2025-12-04T00:00:00"/>
    <n v="4123.28"/>
    <n v="4096.8999999999996"/>
    <n v="4131.3100000000004"/>
    <n v="4092.18"/>
    <s v="128.68K"/>
    <x v="707"/>
    <n v="4017.6810000000005"/>
    <n v="6.4626239593749933E-3"/>
    <x v="2"/>
  </r>
  <r>
    <d v="2025-12-05T00:00:00"/>
    <n v="4096.6400000000003"/>
    <n v="4084.13"/>
    <n v="4098.83"/>
    <n v="4078.4"/>
    <s v="150.70K"/>
    <x v="708"/>
    <n v="4012.5095000000001"/>
    <n v="7.1656138680284637E-3"/>
    <x v="2"/>
  </r>
  <r>
    <d v="2025-12-08T00:00:00"/>
    <n v="4103.1000000000004"/>
    <n v="4089.29"/>
    <n v="4103.16"/>
    <n v="4080.07"/>
    <s v="197.15K"/>
    <x v="709"/>
    <n v="4009.3830000000003"/>
    <n v="7.1315779049564796E-3"/>
    <x v="2"/>
  </r>
  <r>
    <d v="2025-12-09T00:00:00"/>
    <n v="4090.57"/>
    <n v="4059.62"/>
    <n v="4094.94"/>
    <n v="4059.06"/>
    <s v="182.12K"/>
    <x v="710"/>
    <n v="4006.6705000000011"/>
    <n v="7.1821050053601223E-3"/>
    <x v="2"/>
  </r>
  <r>
    <d v="2025-12-10T00:00:00"/>
    <n v="4050.93"/>
    <n v="4045.45"/>
    <n v="4063.57"/>
    <n v="4039.96"/>
    <s v="138.84K"/>
    <x v="711"/>
    <n v="4007.5925000000002"/>
    <n v="7.9420061277015869E-3"/>
    <x v="2"/>
  </r>
  <r>
    <d v="2025-12-11T00:00:00"/>
    <n v="4038.53"/>
    <n v="4009.56"/>
    <n v="4040.5"/>
    <n v="3983.9"/>
    <s v="149.90K"/>
    <x v="712"/>
    <n v="4011.5735"/>
    <n v="7.654535383352582E-3"/>
    <x v="2"/>
  </r>
  <r>
    <d v="2025-12-12T00:00:00"/>
    <n v="4006.14"/>
    <n v="4013.59"/>
    <n v="4017.76"/>
    <n v="3992.67"/>
    <s v="133.74K"/>
    <x v="713"/>
    <n v="4015.5340000000006"/>
    <n v="7.6556650834017177E-3"/>
    <x v="2"/>
  </r>
  <r>
    <d v="2025-12-15T00:00:00"/>
    <n v="3999.51"/>
    <n v="4015.7"/>
    <n v="4023.78"/>
    <n v="3994.6"/>
    <s v="131.90K"/>
    <x v="714"/>
    <n v="4021.5740000000005"/>
    <n v="7.3573695242386081E-3"/>
    <x v="2"/>
  </r>
  <r>
    <d v="2025-12-16T00:00:00"/>
    <n v="4012.48"/>
    <n v="4023.3"/>
    <n v="4023.3"/>
    <n v="3987.03"/>
    <s v="168.48K"/>
    <x v="715"/>
    <n v="4025.0715000000009"/>
    <n v="8.1088768165136389E-3"/>
    <x v="2"/>
  </r>
  <r>
    <d v="2025-12-17T00:00:00"/>
    <n v="4027.05"/>
    <n v="4035.16"/>
    <n v="4037.84"/>
    <n v="4017"/>
    <s v="159.44K"/>
    <x v="716"/>
    <n v="4026.6395000000002"/>
    <n v="8.2431315141692739E-3"/>
    <x v="2"/>
  </r>
  <r>
    <d v="2025-12-18T00:00:00"/>
    <n v="4039.09"/>
    <n v="3985.99"/>
    <n v="4039.09"/>
    <n v="3984"/>
    <s v="158.89K"/>
    <x v="717"/>
    <n v="4028.3395000000005"/>
    <n v="8.2571047057434597E-3"/>
    <x v="2"/>
  </r>
  <r>
    <d v="2025-12-19T00:00:00"/>
    <n v="3999.44"/>
    <n v="3993.78"/>
    <n v="4016.45"/>
    <n v="3986.71"/>
    <s v="149.23K"/>
    <x v="718"/>
    <n v="4031.5675000000001"/>
    <n v="8.5437256167468657E-3"/>
    <x v="2"/>
  </r>
  <r>
    <d v="2025-12-22T00:00:00"/>
    <n v="3982.38"/>
    <n v="3948.16"/>
    <n v="3982.7"/>
    <n v="3948.16"/>
    <s v="145.09K"/>
    <x v="719"/>
    <n v="4036.9430000000002"/>
    <n v="8.169155058510038E-3"/>
    <x v="2"/>
  </r>
  <r>
    <d v="2025-12-23T00:00:00"/>
    <n v="3939.08"/>
    <n v="3962.66"/>
    <n v="3979.55"/>
    <n v="3935.02"/>
    <s v="205.27K"/>
    <x v="720"/>
    <n v="4045.0415000000003"/>
    <n v="8.2315734890784191E-3"/>
    <x v="2"/>
  </r>
  <r>
    <d v="2025-12-24T00:00:00"/>
    <n v="3958.82"/>
    <n v="3971.16"/>
    <n v="4004.22"/>
    <n v="3945.25"/>
    <s v="177.43K"/>
    <x v="721"/>
    <n v="4054.7620000000002"/>
    <n v="7.743232836577494E-3"/>
    <x v="2"/>
  </r>
  <r>
    <d v="2025-12-25T00:00:00"/>
    <n v="3939.15"/>
    <n v="3958.2"/>
    <n v="3981.32"/>
    <n v="3936.48"/>
    <s v="152.52K"/>
    <x v="722"/>
    <n v="4058.5465000000013"/>
    <n v="9.6977425655225408E-3"/>
    <x v="3"/>
  </r>
  <r>
    <d v="2025-12-26T00:00:00"/>
    <n v="3986.9"/>
    <n v="4011.84"/>
    <n v="4018.75"/>
    <n v="3986.9"/>
    <s v="142.03K"/>
    <x v="723"/>
    <n v="4066.2635"/>
    <n v="1.0046856210200301E-2"/>
    <x v="3"/>
  </r>
  <r>
    <d v="2025-12-29T00:00:00"/>
    <n v="3984.7"/>
    <n v="3999.88"/>
    <n v="4001.94"/>
    <n v="3946.94"/>
    <s v="150.54K"/>
    <x v="724"/>
    <n v="4073.1030000000005"/>
    <n v="9.8486378456011485E-3"/>
    <x v="3"/>
  </r>
  <r>
    <d v="2025-12-30T00:00:00"/>
    <n v="4008.69"/>
    <n v="3962.64"/>
    <n v="4008.69"/>
    <n v="3962.64"/>
    <s v="143.56K"/>
    <x v="725"/>
    <n v="4081.1325000000006"/>
    <n v="9.8629827303699808E-3"/>
    <x v="3"/>
  </r>
  <r>
    <d v="2025-12-31T00:00:00"/>
    <n v="3967.14"/>
    <n v="3991.8"/>
    <n v="4004.36"/>
    <n v="3966.43"/>
    <s v="123.86K"/>
    <x v="726"/>
    <n v="4087.8764999999999"/>
    <n v="9.8306562019177552E-3"/>
    <x v="3"/>
  </r>
  <r>
    <d v="2026-01-05T00:00:00"/>
    <n v="4019.85"/>
    <n v="4035.84"/>
    <n v="4043.85"/>
    <n v="4000.89"/>
    <s v="116.54K"/>
    <x v="727"/>
    <n v="4094.8349999999991"/>
    <n v="9.746401480071441E-3"/>
    <x v="3"/>
  </r>
  <r>
    <d v="2026-01-06T00:00:00"/>
    <n v="4034.11"/>
    <n v="4030.74"/>
    <n v="4037.29"/>
    <n v="4011.52"/>
    <s v="117.94K"/>
    <x v="728"/>
    <n v="4100.3855000000003"/>
    <n v="9.4235829627615439E-3"/>
    <x v="2"/>
  </r>
  <r>
    <d v="2026-01-07T00:00:00"/>
    <n v="4048.85"/>
    <n v="4103.6400000000003"/>
    <n v="4124.96"/>
    <n v="4046.57"/>
    <s v="195.91K"/>
    <x v="729"/>
    <n v="4102.4869999999992"/>
    <n v="9.9558635164745408E-3"/>
    <x v="3"/>
  </r>
  <r>
    <d v="2026-01-08T00:00:00"/>
    <n v="4109.01"/>
    <n v="4131.1499999999996"/>
    <n v="4132.84"/>
    <n v="4088.45"/>
    <s v="162.97K"/>
    <x v="730"/>
    <n v="4104.7559999999994"/>
    <n v="9.9701996083402262E-3"/>
    <x v="3"/>
  </r>
  <r>
    <d v="2026-01-09T00:00:00"/>
    <n v="4130.55"/>
    <n v="4126.0200000000004"/>
    <n v="4135.21"/>
    <n v="4100.38"/>
    <s v="160.33K"/>
    <x v="731"/>
    <n v="4103.6495000000004"/>
    <n v="9.3960198343615575E-3"/>
    <x v="2"/>
  </r>
  <r>
    <d v="2026-01-12T00:00:00"/>
    <n v="4117.74"/>
    <n v="4119.99"/>
    <n v="4137.25"/>
    <n v="4113.83"/>
    <s v="148.22K"/>
    <x v="732"/>
    <n v="4104.2035000000005"/>
    <n v="9.813514464917043E-3"/>
    <x v="3"/>
  </r>
  <r>
    <d v="2026-01-13T00:00:00"/>
    <n v="4126.9399999999996"/>
    <n v="4068.73"/>
    <n v="4135.4799999999996"/>
    <n v="4061.22"/>
    <s v="156.02K"/>
    <x v="733"/>
    <n v="4107.3740000000007"/>
    <n v="9.9965487698246164E-3"/>
    <x v="3"/>
  </r>
  <r>
    <d v="2026-01-14T00:00:00"/>
    <n v="4069.46"/>
    <n v="4058.13"/>
    <n v="4074.26"/>
    <n v="4026.45"/>
    <s v="110.32K"/>
    <x v="734"/>
    <n v="4110.8235000000004"/>
    <n v="1.0010508910550005E-2"/>
    <x v="3"/>
  </r>
  <r>
    <d v="2026-01-15T00:00:00"/>
    <n v="4043.84"/>
    <n v="4040.46"/>
    <n v="4067.03"/>
    <n v="4034.52"/>
    <s v="93.79K"/>
    <x v="735"/>
    <n v="4115.1935000000003"/>
    <n v="9.6995511667015075E-3"/>
    <x v="3"/>
  </r>
  <r>
    <d v="2026-01-16T00:00:00"/>
    <n v="4061.05"/>
    <n v="4100.99"/>
    <n v="4102.6099999999997"/>
    <n v="4048.24"/>
    <s v="100.99K"/>
    <x v="736"/>
    <n v="4123.0689999999995"/>
    <n v="9.7612147719364321E-3"/>
    <x v="3"/>
  </r>
  <r>
    <d v="2026-01-19T00:00:00"/>
    <n v="4103.6499999999996"/>
    <n v="4106.21"/>
    <n v="4132.3900000000003"/>
    <n v="4088.21"/>
    <s v="103.57K"/>
    <x v="737"/>
    <n v="4129.0929999999998"/>
    <n v="9.8557995586487628E-3"/>
    <x v="3"/>
  </r>
  <r>
    <d v="2026-01-20T00:00:00"/>
    <n v="4106.95"/>
    <n v="4118.97"/>
    <n v="4134.88"/>
    <n v="4101.8599999999997"/>
    <s v="104.29K"/>
    <x v="738"/>
    <n v="4131.7110000000002"/>
    <n v="9.7579262994671231E-3"/>
    <x v="3"/>
  </r>
  <r>
    <d v="2026-01-21T00:00:00"/>
    <n v="4144.3500000000004"/>
    <n v="4130.0600000000004"/>
    <n v="4151.8"/>
    <n v="4116.2700000000004"/>
    <s v="145.78K"/>
    <x v="739"/>
    <n v="4132.878999999999"/>
    <n v="9.8776034663286202E-3"/>
    <x v="3"/>
  </r>
  <r>
    <d v="2026-01-22T00:00:00"/>
    <n v="4133.49"/>
    <n v="4039.96"/>
    <n v="4134.8599999999997"/>
    <n v="4035.48"/>
    <s v="161.79K"/>
    <x v="740"/>
    <n v="4132.5235000000002"/>
    <n v="9.6676516927506478E-3"/>
    <x v="3"/>
  </r>
  <r>
    <d v="2026-01-23T00:00:00"/>
    <n v="4034.51"/>
    <n v="4086.22"/>
    <n v="4104.6400000000003"/>
    <n v="4032.93"/>
    <s v="116.14K"/>
    <x v="741"/>
    <n v="4132.7470000000003"/>
    <n v="9.648589253443229E-3"/>
    <x v="3"/>
  </r>
  <r>
    <d v="2026-01-26T00:00:00"/>
    <n v="4093.49"/>
    <n v="4125.41"/>
    <n v="4167.8999999999996"/>
    <n v="4068.86"/>
    <s v="159.31K"/>
    <x v="742"/>
    <n v="4134.7405000000008"/>
    <n v="8.6636565336311953E-3"/>
    <x v="2"/>
  </r>
  <r>
    <d v="2026-01-27T00:00:00"/>
    <n v="4123.6899999999996"/>
    <n v="4146.8500000000004"/>
    <n v="4153.72"/>
    <n v="4115.97"/>
    <s v="121.67K"/>
    <x v="743"/>
    <n v="4130.9595000000008"/>
    <n v="8.5662995454594201E-3"/>
    <x v="2"/>
  </r>
  <r>
    <d v="2026-01-28T00:00:00"/>
    <n v="4145.29"/>
    <n v="4151.25"/>
    <n v="4152.05"/>
    <n v="4125.26"/>
    <s v="102.50K"/>
    <x v="744"/>
    <n v="4125.2765000000009"/>
    <n v="8.3431057967352472E-3"/>
    <x v="2"/>
  </r>
  <r>
    <d v="2026-01-29T00:00:00"/>
    <n v="4143.57"/>
    <n v="4098.88"/>
    <n v="4146.45"/>
    <n v="4092.27"/>
    <s v="128.89K"/>
    <x v="745"/>
    <n v="4118.8855000000003"/>
    <n v="8.2358340733115609E-3"/>
    <x v="2"/>
  </r>
  <r>
    <d v="2026-01-30T00:00:00"/>
    <n v="4106.3100000000004"/>
    <n v="4124.1000000000004"/>
    <n v="4125.29"/>
    <n v="4092.35"/>
    <s v="96.72K"/>
    <x v="746"/>
    <n v="4112.3629999999994"/>
    <n v="8.2324174666741062E-3"/>
    <x v="2"/>
  </r>
  <r>
    <d v="2026-02-02T00:00:00"/>
    <n v="4130.8599999999997"/>
    <n v="4067.56"/>
    <n v="4130.8599999999997"/>
    <n v="4064.75"/>
    <s v="102.29K"/>
    <x v="747"/>
    <n v="4106.0919999999987"/>
    <n v="8.1894799232386777E-3"/>
    <x v="2"/>
  </r>
  <r>
    <d v="2026-02-03T00:00:00"/>
    <n v="4076.14"/>
    <n v="4099.8599999999997"/>
    <n v="4111.47"/>
    <n v="4072.65"/>
    <s v="84.79K"/>
    <x v="748"/>
    <n v="4097.9780000000001"/>
    <n v="8.0014858560410202E-3"/>
    <x v="2"/>
  </r>
  <r>
    <d v="2026-02-04T00:00:00"/>
    <n v="4094.23"/>
    <n v="4098.3100000000004"/>
    <n v="4107.34"/>
    <n v="4077.96"/>
    <s v="91.36K"/>
    <x v="749"/>
    <n v="4088.8184999999989"/>
    <n v="8.5210480354299244E-3"/>
    <x v="2"/>
  </r>
  <r>
    <d v="2026-02-05T00:00:00"/>
    <n v="4086.88"/>
    <n v="4103.83"/>
    <n v="4105.9399999999996"/>
    <n v="4065.22"/>
    <s v="110.19K"/>
    <x v="750"/>
    <n v="4078.5019999999995"/>
    <n v="8.3790262249863693E-3"/>
    <x v="2"/>
  </r>
  <r>
    <d v="2026-02-06T00:00:00"/>
    <n v="4141.63"/>
    <n v="4162.03"/>
    <n v="4162.03"/>
    <n v="4103.17"/>
    <s v="117.04K"/>
    <x v="751"/>
    <n v="4078.0610526315781"/>
    <n v="8.6067025011619357E-3"/>
    <x v="2"/>
  </r>
  <r>
    <d v="2026-02-09T00:00:00"/>
    <n v="4181.1499999999996"/>
    <n v="4207.41"/>
    <n v="4207.41"/>
    <n v="4170.5600000000004"/>
    <s v="133.82K"/>
    <x v="752"/>
    <n v="4074.5294444444444"/>
    <n v="7.909949338991305E-3"/>
    <x v="2"/>
  </r>
  <r>
    <d v="2026-02-10T00:00:00"/>
    <n v="4195.93"/>
    <n v="4170.13"/>
    <n v="4195.93"/>
    <n v="4137.7700000000004"/>
    <s v="141.01K"/>
    <x v="753"/>
    <n v="4068.2576470588237"/>
    <n v="7.4338420208157714E-3"/>
    <x v="2"/>
  </r>
  <r>
    <d v="2026-02-11T00:00:00"/>
    <n v="4156.8599999999997"/>
    <n v="4200.58"/>
    <n v="4212.7299999999996"/>
    <n v="4153.05"/>
    <s v="124.55K"/>
    <x v="754"/>
    <n v="4060.2781250000003"/>
    <n v="7.3933682272517278E-3"/>
    <x v="2"/>
  </r>
  <r>
    <d v="2026-02-12T00:00:00"/>
    <n v="4201.3500000000004"/>
    <n v="4267.63"/>
    <n v="4268.1499999999996"/>
    <n v="4197.8599999999997"/>
    <s v="164.61K"/>
    <x v="755"/>
    <n v="4053.8393333333338"/>
    <n v="7.5475774176740305E-3"/>
    <x v="2"/>
  </r>
  <r>
    <d v="2026-02-13T00:00:00"/>
    <n v="4181.53"/>
    <n v="4166.84"/>
    <n v="4189.83"/>
    <n v="4161.67"/>
    <s v="123.55K"/>
    <x v="756"/>
    <n v="4043.3028571428576"/>
    <n v="6.5186131824636088E-3"/>
    <x v="2"/>
  </r>
  <r>
    <d v="2026-02-24T00:00:00"/>
    <n v="4156.01"/>
    <n v="4125.58"/>
    <n v="4156.01"/>
    <n v="4105.9799999999996"/>
    <s v="94.61K"/>
    <x v="757"/>
    <n v="4032.67"/>
    <n v="6.7807048888101759E-3"/>
    <x v="2"/>
  </r>
  <r>
    <d v="2026-02-25T00:00:00"/>
    <n v="4130.3100000000004"/>
    <n v="4140.1000000000004"/>
    <n v="4151.46"/>
    <n v="4125.7700000000004"/>
    <s v="84.20K"/>
    <x v="758"/>
    <n v="4022.3916666666664"/>
    <n v="7.0801914260864114E-3"/>
    <x v="2"/>
  </r>
  <r>
    <d v="2026-02-26T00:00:00"/>
    <n v="4137.24"/>
    <n v="4138.84"/>
    <n v="4148.58"/>
    <n v="4118.16"/>
    <s v="95.48K"/>
    <x v="759"/>
    <n v="4012.5809090909092"/>
    <n v="7.4225162201773552E-3"/>
    <x v="2"/>
  </r>
  <r>
    <d v="2026-02-27T00:00:00"/>
    <n v="4137.96"/>
    <n v="4077.88"/>
    <n v="4177.1000000000004"/>
    <n v="4076.64"/>
    <s v="151.40K"/>
    <x v="760"/>
    <n v="4000.1149999999993"/>
    <n v="7.4156241353919693E-3"/>
    <x v="2"/>
  </r>
  <r>
    <d v="2026-03-02T00:00:00"/>
    <n v="4074.38"/>
    <n v="4032.29"/>
    <n v="4074.38"/>
    <n v="4027.89"/>
    <s v="95.87K"/>
    <x v="761"/>
    <n v="3984.7988888888885"/>
    <n v="7.5015044948626439E-3"/>
    <x v="2"/>
  </r>
  <r>
    <d v="2026-03-03T00:00:00"/>
    <n v="4017.87"/>
    <n v="4021.75"/>
    <n v="4030.29"/>
    <n v="4003.51"/>
    <s v="90.55K"/>
    <x v="762"/>
    <n v="3973.6012500000002"/>
    <n v="7.2616773085233659E-3"/>
    <x v="2"/>
  </r>
  <r>
    <d v="2026-03-04T00:00:00"/>
    <n v="4010.03"/>
    <n v="4019.88"/>
    <n v="4043.4"/>
    <n v="4008.02"/>
    <s v="100.00K"/>
    <x v="763"/>
    <n v="3967.2771428571427"/>
    <n v="7.0118146436464485E-3"/>
    <x v="2"/>
  </r>
  <r>
    <d v="2026-03-05T00:00:00"/>
    <n v="4017.47"/>
    <n v="4014.71"/>
    <n v="4030.46"/>
    <n v="4002.23"/>
    <s v="101.75K"/>
    <x v="764"/>
    <n v="3960.1516666666666"/>
    <n v="7.5683581878783828E-3"/>
    <x v="2"/>
  </r>
  <r>
    <d v="2026-03-06T00:00:00"/>
    <n v="4013.12"/>
    <n v="3998.53"/>
    <n v="4023.09"/>
    <n v="3990.71"/>
    <s v="117.05K"/>
    <x v="765"/>
    <n v="3948.6880000000006"/>
    <n v="7.5507410500074527E-3"/>
    <x v="2"/>
  </r>
  <r>
    <d v="2026-03-09T00:00:00"/>
    <n v="3980.89"/>
    <n v="3969.55"/>
    <n v="4000.41"/>
    <n v="3966.47"/>
    <s v="110.95K"/>
    <x v="766"/>
    <n v="3932.5799999999995"/>
    <n v="7.9834712094049923E-3"/>
    <x v="2"/>
  </r>
  <r>
    <d v="2026-03-10T00:00:00"/>
    <n v="3968.58"/>
    <n v="3913.49"/>
    <n v="3974.88"/>
    <n v="3912.26"/>
    <s v="116.50K"/>
    <x v="767"/>
    <n v="3916.4766666666669"/>
    <n v="9.7768240322443026E-3"/>
    <x v="3"/>
  </r>
  <r>
    <d v="2026-03-11T00:00:00"/>
    <n v="3892.95"/>
    <n v="3886.25"/>
    <n v="3905.9"/>
    <n v="3873.65"/>
    <s v="110.66K"/>
    <x v="768"/>
    <n v="3890.4250000000002"/>
    <n v="1.2558200522049147E-2"/>
    <x v="3"/>
  </r>
  <r>
    <d v="2026-03-12T00:00:00"/>
    <n v="3887.9"/>
    <n v="3864.84"/>
    <n v="3893.99"/>
    <n v="3831.25"/>
    <s v="115.05K"/>
    <x v="769"/>
    <n v="3887.9"/>
    <s v=""/>
    <x v="3"/>
  </r>
  <r>
    <m/>
    <m/>
    <m/>
    <m/>
    <m/>
    <m/>
    <x v="770"/>
    <m/>
    <m/>
    <x v="4"/>
  </r>
  <r>
    <m/>
    <m/>
    <m/>
    <m/>
    <m/>
    <m/>
    <x v="770"/>
    <m/>
    <m/>
    <x v="4"/>
  </r>
  <r>
    <m/>
    <m/>
    <m/>
    <m/>
    <m/>
    <m/>
    <x v="770"/>
    <m/>
    <m/>
    <x v="4"/>
  </r>
  <r>
    <m/>
    <m/>
    <m/>
    <m/>
    <m/>
    <m/>
    <x v="770"/>
    <m/>
    <m/>
    <x v="4"/>
  </r>
  <r>
    <m/>
    <m/>
    <m/>
    <m/>
    <m/>
    <m/>
    <x v="770"/>
    <m/>
    <m/>
    <x v="4"/>
  </r>
  <r>
    <m/>
    <m/>
    <m/>
    <m/>
    <m/>
    <m/>
    <x v="770"/>
    <m/>
    <m/>
    <x v="4"/>
  </r>
  <r>
    <m/>
    <m/>
    <m/>
    <m/>
    <m/>
    <m/>
    <x v="770"/>
    <m/>
    <m/>
    <x v="4"/>
  </r>
  <r>
    <m/>
    <m/>
    <m/>
    <m/>
    <m/>
    <m/>
    <x v="770"/>
    <m/>
    <m/>
    <x v="4"/>
  </r>
  <r>
    <m/>
    <m/>
    <m/>
    <m/>
    <m/>
    <m/>
    <x v="770"/>
    <m/>
    <m/>
    <x v="4"/>
  </r>
  <r>
    <m/>
    <m/>
    <m/>
    <m/>
    <m/>
    <m/>
    <x v="770"/>
    <m/>
    <m/>
    <x v="4"/>
  </r>
  <r>
    <m/>
    <m/>
    <m/>
    <m/>
    <m/>
    <m/>
    <x v="770"/>
    <m/>
    <m/>
    <x v="4"/>
  </r>
  <r>
    <m/>
    <m/>
    <m/>
    <m/>
    <m/>
    <m/>
    <x v="770"/>
    <m/>
    <m/>
    <x v="4"/>
  </r>
  <r>
    <m/>
    <m/>
    <m/>
    <m/>
    <m/>
    <m/>
    <x v="770"/>
    <m/>
    <m/>
    <x v="4"/>
  </r>
  <r>
    <m/>
    <m/>
    <m/>
    <m/>
    <m/>
    <m/>
    <x v="770"/>
    <m/>
    <m/>
    <x v="4"/>
  </r>
  <r>
    <m/>
    <m/>
    <m/>
    <m/>
    <m/>
    <m/>
    <x v="770"/>
    <m/>
    <m/>
    <x v="4"/>
  </r>
  <r>
    <m/>
    <m/>
    <m/>
    <m/>
    <m/>
    <m/>
    <x v="770"/>
    <m/>
    <m/>
    <x v="4"/>
  </r>
  <r>
    <m/>
    <m/>
    <m/>
    <m/>
    <m/>
    <m/>
    <x v="770"/>
    <m/>
    <m/>
    <x v="4"/>
  </r>
  <r>
    <m/>
    <m/>
    <m/>
    <m/>
    <m/>
    <m/>
    <x v="770"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40644-CE14-4BA0-8761-E0BD49DE073C}" name="数据透视表4" cacheId="0" applyNumberFormats="0" applyBorderFormats="0" applyFontFormats="0" applyPatternFormats="0" applyAlignmentFormats="0" applyWidthHeightFormats="1" dataCaption="值" showError="1" updatedVersion="8" minRefreshableVersion="3" useAutoFormatting="1" itemPrintTitles="1" createdVersion="8" indent="0" compact="0" outline="1" outlineData="1" compactData="0" multipleFieldFilters="0" chartFormat="16">
  <location ref="A3:F9" firstHeaderRow="0" firstDataRow="1" firstDataCol="1"/>
  <pivotFields count="10"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 sortType="ascending">
      <items count="6">
        <item x="0"/>
        <item x="2"/>
        <item x="3"/>
        <item x="1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平均每日收益率" fld="6" subtotal="average" baseField="9" baseItem="0" numFmtId="176"/>
    <dataField name="活跃记录数" fld="6" subtotal="count" baseField="9" baseItem="0"/>
    <dataField name="平均波动率" fld="8" subtotal="average" baseField="9" baseItem="0" numFmtId="176"/>
    <dataField name="最大收益率" fld="6" subtotal="max" baseField="9" baseItem="0" numFmtId="176"/>
    <dataField name="最小收益率" fld="6" subtotal="min" baseField="9" baseItem="0" numFmtId="176"/>
  </dataFields>
  <formats count="15">
    <format dxfId="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9">
      <pivotArea outline="0" collapsedLevelsAreSubtotals="1" fieldPosition="0"/>
    </format>
    <format dxfId="1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7">
      <pivotArea field="9" type="button" dataOnly="0" labelOnly="1" outline="0" axis="axisRow" fieldPosition="0"/>
    </format>
    <format dxfId="16">
      <pivotArea dataOnly="0" labelOnly="1" outline="0" fieldPosition="0">
        <references count="1">
          <reference field="9" count="0"/>
        </references>
      </pivotArea>
    </format>
    <format dxfId="15">
      <pivotArea dataOnly="0" labelOnly="1" grandRow="1" outline="0" fieldPosition="0"/>
    </format>
    <format dxfId="1">
      <pivotArea field="9" grandRow="1" outline="0" axis="axisRow" fieldPosition="0">
        <references count="1">
          <reference field="4294967294" count="1" selected="0">
            <x v="0"/>
          </reference>
        </references>
      </pivotArea>
    </format>
    <format dxfId="0">
      <pivotArea field="9" grandRow="1" outline="0" axis="axisRow" fieldPosition="0">
        <references count="1">
          <reference field="4294967294" count="1" selected="0">
            <x v="4"/>
          </reference>
        </references>
      </pivotArea>
    </format>
  </formats>
  <chartFormats count="20"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1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79E3-A11F-48FC-A2C2-8887B8D6C0A0}">
  <dimension ref="A1:G771"/>
  <sheetViews>
    <sheetView workbookViewId="0">
      <selection activeCell="J11" sqref="J10:J11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44929</v>
      </c>
      <c r="B2" s="2">
        <v>3887.9</v>
      </c>
      <c r="C2" s="2">
        <v>3864.84</v>
      </c>
      <c r="D2" s="2">
        <v>3893.99</v>
      </c>
      <c r="E2" s="2">
        <v>3831.25</v>
      </c>
      <c r="F2" t="s">
        <v>761</v>
      </c>
      <c r="G2" s="3">
        <v>4.1999999999999997E-3</v>
      </c>
    </row>
    <row r="3" spans="1:7" x14ac:dyDescent="0.3">
      <c r="A3" s="1">
        <v>44930</v>
      </c>
      <c r="B3" s="2">
        <v>3892.95</v>
      </c>
      <c r="C3" s="2">
        <v>3886.25</v>
      </c>
      <c r="D3" s="2">
        <v>3905.9</v>
      </c>
      <c r="E3" s="2">
        <v>3873.65</v>
      </c>
      <c r="F3" t="s">
        <v>760</v>
      </c>
      <c r="G3" s="3">
        <v>1.2999999999999999E-3</v>
      </c>
    </row>
    <row r="4" spans="1:7" x14ac:dyDescent="0.3">
      <c r="A4" s="1">
        <v>44931</v>
      </c>
      <c r="B4" s="2">
        <v>3968.58</v>
      </c>
      <c r="C4" s="2">
        <v>3913.49</v>
      </c>
      <c r="D4" s="2">
        <v>3974.88</v>
      </c>
      <c r="E4" s="2">
        <v>3912.26</v>
      </c>
      <c r="F4" t="s">
        <v>759</v>
      </c>
      <c r="G4" s="3">
        <v>1.9400000000000001E-2</v>
      </c>
    </row>
    <row r="5" spans="1:7" x14ac:dyDescent="0.3">
      <c r="A5" s="1">
        <v>44932</v>
      </c>
      <c r="B5" s="2">
        <v>3980.89</v>
      </c>
      <c r="C5" s="2">
        <v>3969.55</v>
      </c>
      <c r="D5" s="2">
        <v>4000.41</v>
      </c>
      <c r="E5" s="2">
        <v>3966.47</v>
      </c>
      <c r="F5" t="s">
        <v>758</v>
      </c>
      <c r="G5" s="3">
        <v>3.0999999999999999E-3</v>
      </c>
    </row>
    <row r="6" spans="1:7" x14ac:dyDescent="0.3">
      <c r="A6" s="1">
        <v>44935</v>
      </c>
      <c r="B6" s="2">
        <v>4013.12</v>
      </c>
      <c r="C6" s="2">
        <v>3998.53</v>
      </c>
      <c r="D6" s="2">
        <v>4023.09</v>
      </c>
      <c r="E6" s="2">
        <v>3990.71</v>
      </c>
      <c r="F6" t="s">
        <v>757</v>
      </c>
      <c r="G6" s="3">
        <v>8.0999999999999996E-3</v>
      </c>
    </row>
    <row r="7" spans="1:7" x14ac:dyDescent="0.3">
      <c r="A7" s="1">
        <v>44936</v>
      </c>
      <c r="B7" s="2">
        <v>4017.47</v>
      </c>
      <c r="C7" s="2">
        <v>4014.71</v>
      </c>
      <c r="D7" s="2">
        <v>4030.46</v>
      </c>
      <c r="E7" s="2">
        <v>4002.23</v>
      </c>
      <c r="F7" t="s">
        <v>756</v>
      </c>
      <c r="G7" s="3">
        <v>1.1000000000000001E-3</v>
      </c>
    </row>
    <row r="8" spans="1:7" x14ac:dyDescent="0.3">
      <c r="A8" s="1">
        <v>44937</v>
      </c>
      <c r="B8" s="2">
        <v>4010.03</v>
      </c>
      <c r="C8" s="2">
        <v>4019.88</v>
      </c>
      <c r="D8" s="2">
        <v>4043.4</v>
      </c>
      <c r="E8" s="2">
        <v>4008.02</v>
      </c>
      <c r="F8" t="s">
        <v>755</v>
      </c>
      <c r="G8" s="3">
        <v>-1.9E-3</v>
      </c>
    </row>
    <row r="9" spans="1:7" x14ac:dyDescent="0.3">
      <c r="A9" s="1">
        <v>44938</v>
      </c>
      <c r="B9" s="2">
        <v>4017.87</v>
      </c>
      <c r="C9" s="2">
        <v>4021.75</v>
      </c>
      <c r="D9" s="2">
        <v>4030.29</v>
      </c>
      <c r="E9" s="2">
        <v>4003.51</v>
      </c>
      <c r="F9" t="s">
        <v>754</v>
      </c>
      <c r="G9" s="3">
        <v>2E-3</v>
      </c>
    </row>
    <row r="10" spans="1:7" x14ac:dyDescent="0.3">
      <c r="A10" s="1">
        <v>44939</v>
      </c>
      <c r="B10" s="2">
        <v>4074.38</v>
      </c>
      <c r="C10" s="2">
        <v>4032.29</v>
      </c>
      <c r="D10" s="2">
        <v>4074.38</v>
      </c>
      <c r="E10" s="2">
        <v>4027.89</v>
      </c>
      <c r="F10" t="s">
        <v>753</v>
      </c>
      <c r="G10" s="3">
        <v>1.41E-2</v>
      </c>
    </row>
    <row r="11" spans="1:7" x14ac:dyDescent="0.3">
      <c r="A11" s="1">
        <v>44942</v>
      </c>
      <c r="B11" s="2">
        <v>4137.96</v>
      </c>
      <c r="C11" s="2">
        <v>4077.88</v>
      </c>
      <c r="D11" s="2">
        <v>4177.1000000000004</v>
      </c>
      <c r="E11" s="2">
        <v>4076.64</v>
      </c>
      <c r="F11" t="s">
        <v>752</v>
      </c>
      <c r="G11" s="3">
        <v>1.5599999999999999E-2</v>
      </c>
    </row>
    <row r="12" spans="1:7" x14ac:dyDescent="0.3">
      <c r="A12" s="1">
        <v>44943</v>
      </c>
      <c r="B12" s="2">
        <v>4137.24</v>
      </c>
      <c r="C12" s="2">
        <v>4138.84</v>
      </c>
      <c r="D12" s="2">
        <v>4148.58</v>
      </c>
      <c r="E12" s="2">
        <v>4118.16</v>
      </c>
      <c r="F12" t="s">
        <v>751</v>
      </c>
      <c r="G12" s="3">
        <v>-2.0000000000000001E-4</v>
      </c>
    </row>
    <row r="13" spans="1:7" x14ac:dyDescent="0.3">
      <c r="A13" s="1">
        <v>44944</v>
      </c>
      <c r="B13" s="2">
        <v>4130.3100000000004</v>
      </c>
      <c r="C13" s="2">
        <v>4140.1000000000004</v>
      </c>
      <c r="D13" s="2">
        <v>4151.46</v>
      </c>
      <c r="E13" s="2">
        <v>4125.7700000000004</v>
      </c>
      <c r="F13" t="s">
        <v>750</v>
      </c>
      <c r="G13" s="3">
        <v>-1.6999999999999999E-3</v>
      </c>
    </row>
    <row r="14" spans="1:7" x14ac:dyDescent="0.3">
      <c r="A14" s="1">
        <v>44945</v>
      </c>
      <c r="B14" s="2">
        <v>4156.01</v>
      </c>
      <c r="C14" s="2">
        <v>4125.58</v>
      </c>
      <c r="D14" s="2">
        <v>4156.01</v>
      </c>
      <c r="E14" s="2">
        <v>4105.9799999999996</v>
      </c>
      <c r="F14" t="s">
        <v>749</v>
      </c>
      <c r="G14" s="3">
        <v>6.1999999999999998E-3</v>
      </c>
    </row>
    <row r="15" spans="1:7" x14ac:dyDescent="0.3">
      <c r="A15" s="1">
        <v>44946</v>
      </c>
      <c r="B15" s="2">
        <v>4181.53</v>
      </c>
      <c r="C15" s="2">
        <v>4166.84</v>
      </c>
      <c r="D15" s="2">
        <v>4189.83</v>
      </c>
      <c r="E15" s="2">
        <v>4161.67</v>
      </c>
      <c r="F15" t="s">
        <v>748</v>
      </c>
      <c r="G15" s="3">
        <v>6.1000000000000004E-3</v>
      </c>
    </row>
    <row r="16" spans="1:7" x14ac:dyDescent="0.3">
      <c r="A16" s="1">
        <v>44956</v>
      </c>
      <c r="B16" s="2">
        <v>4201.3500000000004</v>
      </c>
      <c r="C16" s="2">
        <v>4267.63</v>
      </c>
      <c r="D16" s="2">
        <v>4268.1499999999996</v>
      </c>
      <c r="E16" s="2">
        <v>4197.8599999999997</v>
      </c>
      <c r="F16" t="s">
        <v>292</v>
      </c>
      <c r="G16" s="3">
        <v>4.7000000000000002E-3</v>
      </c>
    </row>
    <row r="17" spans="1:7" x14ac:dyDescent="0.3">
      <c r="A17" s="1">
        <v>44957</v>
      </c>
      <c r="B17" s="2">
        <v>4156.8599999999997</v>
      </c>
      <c r="C17" s="2">
        <v>4200.58</v>
      </c>
      <c r="D17" s="2">
        <v>4212.7299999999996</v>
      </c>
      <c r="E17" s="2">
        <v>4153.05</v>
      </c>
      <c r="F17" t="s">
        <v>432</v>
      </c>
      <c r="G17" s="3">
        <v>-1.06E-2</v>
      </c>
    </row>
    <row r="18" spans="1:7" x14ac:dyDescent="0.3">
      <c r="A18" s="1">
        <v>44958</v>
      </c>
      <c r="B18" s="2">
        <v>4195.93</v>
      </c>
      <c r="C18" s="2">
        <v>4170.13</v>
      </c>
      <c r="D18" s="2">
        <v>4195.93</v>
      </c>
      <c r="E18" s="2">
        <v>4137.7700000000004</v>
      </c>
      <c r="F18" t="s">
        <v>747</v>
      </c>
      <c r="G18" s="3">
        <v>9.4000000000000004E-3</v>
      </c>
    </row>
    <row r="19" spans="1:7" x14ac:dyDescent="0.3">
      <c r="A19" s="1">
        <v>44959</v>
      </c>
      <c r="B19" s="2">
        <v>4181.1499999999996</v>
      </c>
      <c r="C19" s="2">
        <v>4207.41</v>
      </c>
      <c r="D19" s="2">
        <v>4207.41</v>
      </c>
      <c r="E19" s="2">
        <v>4170.5600000000004</v>
      </c>
      <c r="F19" t="s">
        <v>746</v>
      </c>
      <c r="G19" s="3">
        <v>-3.5000000000000001E-3</v>
      </c>
    </row>
    <row r="20" spans="1:7" x14ac:dyDescent="0.3">
      <c r="A20" s="1">
        <v>44960</v>
      </c>
      <c r="B20" s="2">
        <v>4141.63</v>
      </c>
      <c r="C20" s="2">
        <v>4162.03</v>
      </c>
      <c r="D20" s="2">
        <v>4162.03</v>
      </c>
      <c r="E20" s="2">
        <v>4103.17</v>
      </c>
      <c r="F20" t="s">
        <v>745</v>
      </c>
      <c r="G20" s="3">
        <v>-9.4999999999999998E-3</v>
      </c>
    </row>
    <row r="21" spans="1:7" x14ac:dyDescent="0.3">
      <c r="A21" s="1">
        <v>44963</v>
      </c>
      <c r="B21" s="2">
        <v>4086.88</v>
      </c>
      <c r="C21" s="2">
        <v>4103.83</v>
      </c>
      <c r="D21" s="2">
        <v>4105.9399999999996</v>
      </c>
      <c r="E21" s="2">
        <v>4065.22</v>
      </c>
      <c r="F21" t="s">
        <v>744</v>
      </c>
      <c r="G21" s="3">
        <v>-1.32E-2</v>
      </c>
    </row>
    <row r="22" spans="1:7" x14ac:dyDescent="0.3">
      <c r="A22" s="1">
        <v>44964</v>
      </c>
      <c r="B22" s="2">
        <v>4094.23</v>
      </c>
      <c r="C22" s="2">
        <v>4098.3100000000004</v>
      </c>
      <c r="D22" s="2">
        <v>4107.34</v>
      </c>
      <c r="E22" s="2">
        <v>4077.96</v>
      </c>
      <c r="F22" t="s">
        <v>743</v>
      </c>
      <c r="G22" s="3">
        <v>1.8E-3</v>
      </c>
    </row>
    <row r="23" spans="1:7" x14ac:dyDescent="0.3">
      <c r="A23" s="1">
        <v>44965</v>
      </c>
      <c r="B23" s="2">
        <v>4076.14</v>
      </c>
      <c r="C23" s="2">
        <v>4099.8599999999997</v>
      </c>
      <c r="D23" s="2">
        <v>4111.47</v>
      </c>
      <c r="E23" s="2">
        <v>4072.65</v>
      </c>
      <c r="F23" t="s">
        <v>742</v>
      </c>
      <c r="G23" s="3">
        <v>-4.4000000000000003E-3</v>
      </c>
    </row>
    <row r="24" spans="1:7" x14ac:dyDescent="0.3">
      <c r="A24" s="1">
        <v>44966</v>
      </c>
      <c r="B24" s="2">
        <v>4130.8599999999997</v>
      </c>
      <c r="C24" s="2">
        <v>4067.56</v>
      </c>
      <c r="D24" s="2">
        <v>4130.8599999999997</v>
      </c>
      <c r="E24" s="2">
        <v>4064.75</v>
      </c>
      <c r="F24" t="s">
        <v>741</v>
      </c>
      <c r="G24" s="3">
        <v>1.34E-2</v>
      </c>
    </row>
    <row r="25" spans="1:7" x14ac:dyDescent="0.3">
      <c r="A25" s="1">
        <v>44967</v>
      </c>
      <c r="B25" s="2">
        <v>4106.3100000000004</v>
      </c>
      <c r="C25" s="2">
        <v>4124.1000000000004</v>
      </c>
      <c r="D25" s="2">
        <v>4125.29</v>
      </c>
      <c r="E25" s="2">
        <v>4092.35</v>
      </c>
      <c r="F25" t="s">
        <v>740</v>
      </c>
      <c r="G25" s="3">
        <v>-5.8999999999999999E-3</v>
      </c>
    </row>
    <row r="26" spans="1:7" x14ac:dyDescent="0.3">
      <c r="A26" s="1">
        <v>44970</v>
      </c>
      <c r="B26" s="2">
        <v>4143.57</v>
      </c>
      <c r="C26" s="2">
        <v>4098.88</v>
      </c>
      <c r="D26" s="2">
        <v>4146.45</v>
      </c>
      <c r="E26" s="2">
        <v>4092.27</v>
      </c>
      <c r="F26" t="s">
        <v>739</v>
      </c>
      <c r="G26" s="3">
        <v>9.1000000000000004E-3</v>
      </c>
    </row>
    <row r="27" spans="1:7" x14ac:dyDescent="0.3">
      <c r="A27" s="1">
        <v>44971</v>
      </c>
      <c r="B27" s="2">
        <v>4145.29</v>
      </c>
      <c r="C27" s="2">
        <v>4151.25</v>
      </c>
      <c r="D27" s="2">
        <v>4152.05</v>
      </c>
      <c r="E27" s="2">
        <v>4125.26</v>
      </c>
      <c r="F27" t="s">
        <v>738</v>
      </c>
      <c r="G27" s="3">
        <v>4.0000000000000002E-4</v>
      </c>
    </row>
    <row r="28" spans="1:7" x14ac:dyDescent="0.3">
      <c r="A28" s="1">
        <v>44972</v>
      </c>
      <c r="B28" s="2">
        <v>4123.6899999999996</v>
      </c>
      <c r="C28" s="2">
        <v>4146.8500000000004</v>
      </c>
      <c r="D28" s="2">
        <v>4153.72</v>
      </c>
      <c r="E28" s="2">
        <v>4115.97</v>
      </c>
      <c r="F28" t="s">
        <v>737</v>
      </c>
      <c r="G28" s="3">
        <v>-5.1999999999999998E-3</v>
      </c>
    </row>
    <row r="29" spans="1:7" x14ac:dyDescent="0.3">
      <c r="A29" s="1">
        <v>44973</v>
      </c>
      <c r="B29" s="2">
        <v>4093.49</v>
      </c>
      <c r="C29" s="2">
        <v>4125.41</v>
      </c>
      <c r="D29" s="2">
        <v>4167.8999999999996</v>
      </c>
      <c r="E29" s="2">
        <v>4068.86</v>
      </c>
      <c r="F29" t="s">
        <v>736</v>
      </c>
      <c r="G29" s="3">
        <v>-7.3000000000000001E-3</v>
      </c>
    </row>
    <row r="30" spans="1:7" x14ac:dyDescent="0.3">
      <c r="A30" s="1">
        <v>44974</v>
      </c>
      <c r="B30" s="2">
        <v>4034.51</v>
      </c>
      <c r="C30" s="2">
        <v>4086.22</v>
      </c>
      <c r="D30" s="2">
        <v>4104.6400000000003</v>
      </c>
      <c r="E30" s="2">
        <v>4032.93</v>
      </c>
      <c r="F30" t="s">
        <v>735</v>
      </c>
      <c r="G30" s="3">
        <v>-1.44E-2</v>
      </c>
    </row>
    <row r="31" spans="1:7" x14ac:dyDescent="0.3">
      <c r="A31" s="1">
        <v>44977</v>
      </c>
      <c r="B31" s="2">
        <v>4133.49</v>
      </c>
      <c r="C31" s="2">
        <v>4039.96</v>
      </c>
      <c r="D31" s="2">
        <v>4134.8599999999997</v>
      </c>
      <c r="E31" s="2">
        <v>4035.48</v>
      </c>
      <c r="F31" t="s">
        <v>734</v>
      </c>
      <c r="G31" s="3">
        <v>2.4500000000000001E-2</v>
      </c>
    </row>
    <row r="32" spans="1:7" x14ac:dyDescent="0.3">
      <c r="A32" s="1">
        <v>44978</v>
      </c>
      <c r="B32" s="2">
        <v>4144.3500000000004</v>
      </c>
      <c r="C32" s="2">
        <v>4130.0600000000004</v>
      </c>
      <c r="D32" s="2">
        <v>4151.8</v>
      </c>
      <c r="E32" s="2">
        <v>4116.2700000000004</v>
      </c>
      <c r="F32" t="s">
        <v>733</v>
      </c>
      <c r="G32" s="3">
        <v>2.5999999999999999E-3</v>
      </c>
    </row>
    <row r="33" spans="1:7" x14ac:dyDescent="0.3">
      <c r="A33" s="1">
        <v>44979</v>
      </c>
      <c r="B33" s="2">
        <v>4106.95</v>
      </c>
      <c r="C33" s="2">
        <v>4118.97</v>
      </c>
      <c r="D33" s="2">
        <v>4134.88</v>
      </c>
      <c r="E33" s="2">
        <v>4101.8599999999997</v>
      </c>
      <c r="F33" t="s">
        <v>732</v>
      </c>
      <c r="G33" s="3">
        <v>-8.9999999999999993E-3</v>
      </c>
    </row>
    <row r="34" spans="1:7" x14ac:dyDescent="0.3">
      <c r="A34" s="1">
        <v>44980</v>
      </c>
      <c r="B34" s="2">
        <v>4103.6499999999996</v>
      </c>
      <c r="C34" s="2">
        <v>4106.21</v>
      </c>
      <c r="D34" s="2">
        <v>4132.3900000000003</v>
      </c>
      <c r="E34" s="2">
        <v>4088.21</v>
      </c>
      <c r="F34" t="s">
        <v>731</v>
      </c>
      <c r="G34" s="3">
        <v>-8.0000000000000004E-4</v>
      </c>
    </row>
    <row r="35" spans="1:7" x14ac:dyDescent="0.3">
      <c r="A35" s="1">
        <v>44981</v>
      </c>
      <c r="B35" s="2">
        <v>4061.05</v>
      </c>
      <c r="C35" s="2">
        <v>4100.99</v>
      </c>
      <c r="D35" s="2">
        <v>4102.6099999999997</v>
      </c>
      <c r="E35" s="2">
        <v>4048.24</v>
      </c>
      <c r="F35" t="s">
        <v>730</v>
      </c>
      <c r="G35" s="3">
        <v>-1.04E-2</v>
      </c>
    </row>
    <row r="36" spans="1:7" x14ac:dyDescent="0.3">
      <c r="A36" s="1">
        <v>44984</v>
      </c>
      <c r="B36" s="2">
        <v>4043.84</v>
      </c>
      <c r="C36" s="2">
        <v>4040.46</v>
      </c>
      <c r="D36" s="2">
        <v>4067.03</v>
      </c>
      <c r="E36" s="2">
        <v>4034.52</v>
      </c>
      <c r="F36" t="s">
        <v>729</v>
      </c>
      <c r="G36" s="3">
        <v>-4.1999999999999997E-3</v>
      </c>
    </row>
    <row r="37" spans="1:7" x14ac:dyDescent="0.3">
      <c r="A37" s="1">
        <v>44985</v>
      </c>
      <c r="B37" s="2">
        <v>4069.46</v>
      </c>
      <c r="C37" s="2">
        <v>4058.13</v>
      </c>
      <c r="D37" s="2">
        <v>4074.26</v>
      </c>
      <c r="E37" s="2">
        <v>4026.45</v>
      </c>
      <c r="F37" t="s">
        <v>728</v>
      </c>
      <c r="G37" s="3">
        <v>6.3E-3</v>
      </c>
    </row>
    <row r="38" spans="1:7" x14ac:dyDescent="0.3">
      <c r="A38" s="1">
        <v>44986</v>
      </c>
      <c r="B38" s="2">
        <v>4126.9399999999996</v>
      </c>
      <c r="C38" s="2">
        <v>4068.73</v>
      </c>
      <c r="D38" s="2">
        <v>4135.4799999999996</v>
      </c>
      <c r="E38" s="2">
        <v>4061.22</v>
      </c>
      <c r="F38" t="s">
        <v>727</v>
      </c>
      <c r="G38" s="3">
        <v>1.41E-2</v>
      </c>
    </row>
    <row r="39" spans="1:7" x14ac:dyDescent="0.3">
      <c r="A39" s="1">
        <v>44987</v>
      </c>
      <c r="B39" s="2">
        <v>4117.74</v>
      </c>
      <c r="C39" s="2">
        <v>4119.99</v>
      </c>
      <c r="D39" s="2">
        <v>4137.25</v>
      </c>
      <c r="E39" s="2">
        <v>4113.83</v>
      </c>
      <c r="F39" t="s">
        <v>726</v>
      </c>
      <c r="G39" s="3">
        <v>-2.2000000000000001E-3</v>
      </c>
    </row>
    <row r="40" spans="1:7" x14ac:dyDescent="0.3">
      <c r="A40" s="1">
        <v>44988</v>
      </c>
      <c r="B40" s="2">
        <v>4130.55</v>
      </c>
      <c r="C40" s="2">
        <v>4126.0200000000004</v>
      </c>
      <c r="D40" s="2">
        <v>4135.21</v>
      </c>
      <c r="E40" s="2">
        <v>4100.38</v>
      </c>
      <c r="F40" t="s">
        <v>725</v>
      </c>
      <c r="G40" s="3">
        <v>3.0999999999999999E-3</v>
      </c>
    </row>
    <row r="41" spans="1:7" x14ac:dyDescent="0.3">
      <c r="A41" s="1">
        <v>44991</v>
      </c>
      <c r="B41" s="2">
        <v>4109.01</v>
      </c>
      <c r="C41" s="2">
        <v>4131.1499999999996</v>
      </c>
      <c r="D41" s="2">
        <v>4132.84</v>
      </c>
      <c r="E41" s="2">
        <v>4088.45</v>
      </c>
      <c r="F41" t="s">
        <v>724</v>
      </c>
      <c r="G41" s="3">
        <v>-5.1999999999999998E-3</v>
      </c>
    </row>
    <row r="42" spans="1:7" x14ac:dyDescent="0.3">
      <c r="A42" s="1">
        <v>44992</v>
      </c>
      <c r="B42" s="2">
        <v>4048.85</v>
      </c>
      <c r="C42" s="2">
        <v>4103.6400000000003</v>
      </c>
      <c r="D42" s="2">
        <v>4124.96</v>
      </c>
      <c r="E42" s="2">
        <v>4046.57</v>
      </c>
      <c r="F42" t="s">
        <v>723</v>
      </c>
      <c r="G42" s="3">
        <v>-1.46E-2</v>
      </c>
    </row>
    <row r="43" spans="1:7" x14ac:dyDescent="0.3">
      <c r="A43" s="1">
        <v>44993</v>
      </c>
      <c r="B43" s="2">
        <v>4034.11</v>
      </c>
      <c r="C43" s="2">
        <v>4030.74</v>
      </c>
      <c r="D43" s="2">
        <v>4037.29</v>
      </c>
      <c r="E43" s="2">
        <v>4011.52</v>
      </c>
      <c r="F43" t="s">
        <v>722</v>
      </c>
      <c r="G43" s="3">
        <v>-3.5999999999999999E-3</v>
      </c>
    </row>
    <row r="44" spans="1:7" x14ac:dyDescent="0.3">
      <c r="A44" s="1">
        <v>44994</v>
      </c>
      <c r="B44" s="2">
        <v>4019.85</v>
      </c>
      <c r="C44" s="2">
        <v>4035.84</v>
      </c>
      <c r="D44" s="2">
        <v>4043.85</v>
      </c>
      <c r="E44" s="2">
        <v>4000.89</v>
      </c>
      <c r="F44" t="s">
        <v>721</v>
      </c>
      <c r="G44" s="3">
        <v>-3.5000000000000001E-3</v>
      </c>
    </row>
    <row r="45" spans="1:7" x14ac:dyDescent="0.3">
      <c r="A45" s="1">
        <v>44995</v>
      </c>
      <c r="B45" s="2">
        <v>3967.14</v>
      </c>
      <c r="C45" s="2">
        <v>3991.8</v>
      </c>
      <c r="D45" s="2">
        <v>4004.36</v>
      </c>
      <c r="E45" s="2">
        <v>3966.43</v>
      </c>
      <c r="F45" t="s">
        <v>720</v>
      </c>
      <c r="G45" s="3">
        <v>-1.3100000000000001E-2</v>
      </c>
    </row>
    <row r="46" spans="1:7" x14ac:dyDescent="0.3">
      <c r="A46" s="1">
        <v>44998</v>
      </c>
      <c r="B46" s="2">
        <v>4008.69</v>
      </c>
      <c r="C46" s="2">
        <v>3962.64</v>
      </c>
      <c r="D46" s="2">
        <v>4008.69</v>
      </c>
      <c r="E46" s="2">
        <v>3962.64</v>
      </c>
      <c r="F46" t="s">
        <v>719</v>
      </c>
      <c r="G46" s="3">
        <v>1.0500000000000001E-2</v>
      </c>
    </row>
    <row r="47" spans="1:7" x14ac:dyDescent="0.3">
      <c r="A47" s="1">
        <v>44999</v>
      </c>
      <c r="B47" s="2">
        <v>3984.7</v>
      </c>
      <c r="C47" s="2">
        <v>3999.88</v>
      </c>
      <c r="D47" s="2">
        <v>4001.94</v>
      </c>
      <c r="E47" s="2">
        <v>3946.94</v>
      </c>
      <c r="F47" t="s">
        <v>718</v>
      </c>
      <c r="G47" s="3">
        <v>-6.0000000000000001E-3</v>
      </c>
    </row>
    <row r="48" spans="1:7" x14ac:dyDescent="0.3">
      <c r="A48" s="1">
        <v>45000</v>
      </c>
      <c r="B48" s="2">
        <v>3986.9</v>
      </c>
      <c r="C48" s="2">
        <v>4011.84</v>
      </c>
      <c r="D48" s="2">
        <v>4018.75</v>
      </c>
      <c r="E48" s="2">
        <v>3986.9</v>
      </c>
      <c r="F48" t="s">
        <v>717</v>
      </c>
      <c r="G48" s="3">
        <v>5.9999999999999995E-4</v>
      </c>
    </row>
    <row r="49" spans="1:7" x14ac:dyDescent="0.3">
      <c r="A49" s="1">
        <v>45001</v>
      </c>
      <c r="B49" s="2">
        <v>3939.15</v>
      </c>
      <c r="C49" s="2">
        <v>3958.2</v>
      </c>
      <c r="D49" s="2">
        <v>3981.32</v>
      </c>
      <c r="E49" s="2">
        <v>3936.48</v>
      </c>
      <c r="F49" t="s">
        <v>716</v>
      </c>
      <c r="G49" s="3">
        <v>-1.2E-2</v>
      </c>
    </row>
    <row r="50" spans="1:7" x14ac:dyDescent="0.3">
      <c r="A50" s="1">
        <v>45002</v>
      </c>
      <c r="B50" s="2">
        <v>3958.82</v>
      </c>
      <c r="C50" s="2">
        <v>3971.16</v>
      </c>
      <c r="D50" s="2">
        <v>4004.22</v>
      </c>
      <c r="E50" s="2">
        <v>3945.25</v>
      </c>
      <c r="F50" t="s">
        <v>715</v>
      </c>
      <c r="G50" s="3">
        <v>5.0000000000000001E-3</v>
      </c>
    </row>
    <row r="51" spans="1:7" x14ac:dyDescent="0.3">
      <c r="A51" s="1">
        <v>45005</v>
      </c>
      <c r="B51" s="2">
        <v>3939.08</v>
      </c>
      <c r="C51" s="2">
        <v>3962.66</v>
      </c>
      <c r="D51" s="2">
        <v>3979.55</v>
      </c>
      <c r="E51" s="2">
        <v>3935.02</v>
      </c>
      <c r="F51" t="s">
        <v>714</v>
      </c>
      <c r="G51" s="3">
        <v>-5.0000000000000001E-3</v>
      </c>
    </row>
    <row r="52" spans="1:7" x14ac:dyDescent="0.3">
      <c r="A52" s="1">
        <v>45006</v>
      </c>
      <c r="B52" s="2">
        <v>3982.38</v>
      </c>
      <c r="C52" s="2">
        <v>3948.16</v>
      </c>
      <c r="D52" s="2">
        <v>3982.7</v>
      </c>
      <c r="E52" s="2">
        <v>3948.16</v>
      </c>
      <c r="F52" t="s">
        <v>713</v>
      </c>
      <c r="G52" s="3">
        <v>1.0999999999999999E-2</v>
      </c>
    </row>
    <row r="53" spans="1:7" x14ac:dyDescent="0.3">
      <c r="A53" s="1">
        <v>45007</v>
      </c>
      <c r="B53" s="2">
        <v>3999.44</v>
      </c>
      <c r="C53" s="2">
        <v>3993.78</v>
      </c>
      <c r="D53" s="2">
        <v>4016.45</v>
      </c>
      <c r="E53" s="2">
        <v>3986.71</v>
      </c>
      <c r="F53" t="s">
        <v>712</v>
      </c>
      <c r="G53" s="3">
        <v>4.3E-3</v>
      </c>
    </row>
    <row r="54" spans="1:7" x14ac:dyDescent="0.3">
      <c r="A54" s="1">
        <v>45008</v>
      </c>
      <c r="B54" s="2">
        <v>4039.09</v>
      </c>
      <c r="C54" s="2">
        <v>3985.99</v>
      </c>
      <c r="D54" s="2">
        <v>4039.09</v>
      </c>
      <c r="E54" s="2">
        <v>3984</v>
      </c>
      <c r="F54" t="s">
        <v>711</v>
      </c>
      <c r="G54" s="3">
        <v>9.9000000000000008E-3</v>
      </c>
    </row>
    <row r="55" spans="1:7" x14ac:dyDescent="0.3">
      <c r="A55" s="1">
        <v>45009</v>
      </c>
      <c r="B55" s="2">
        <v>4027.05</v>
      </c>
      <c r="C55" s="2">
        <v>4035.16</v>
      </c>
      <c r="D55" s="2">
        <v>4037.84</v>
      </c>
      <c r="E55" s="2">
        <v>4017</v>
      </c>
      <c r="F55" t="s">
        <v>710</v>
      </c>
      <c r="G55" s="3">
        <v>-3.0000000000000001E-3</v>
      </c>
    </row>
    <row r="56" spans="1:7" x14ac:dyDescent="0.3">
      <c r="A56" s="1">
        <v>45012</v>
      </c>
      <c r="B56" s="2">
        <v>4012.48</v>
      </c>
      <c r="C56" s="2">
        <v>4023.3</v>
      </c>
      <c r="D56" s="2">
        <v>4023.3</v>
      </c>
      <c r="E56" s="2">
        <v>3987.03</v>
      </c>
      <c r="F56" t="s">
        <v>709</v>
      </c>
      <c r="G56" s="3">
        <v>-3.5999999999999999E-3</v>
      </c>
    </row>
    <row r="57" spans="1:7" x14ac:dyDescent="0.3">
      <c r="A57" s="1">
        <v>45013</v>
      </c>
      <c r="B57" s="2">
        <v>3999.51</v>
      </c>
      <c r="C57" s="2">
        <v>4015.7</v>
      </c>
      <c r="D57" s="2">
        <v>4023.78</v>
      </c>
      <c r="E57" s="2">
        <v>3994.6</v>
      </c>
      <c r="F57" t="s">
        <v>708</v>
      </c>
      <c r="G57" s="3">
        <v>-3.2000000000000002E-3</v>
      </c>
    </row>
    <row r="58" spans="1:7" x14ac:dyDescent="0.3">
      <c r="A58" s="1">
        <v>45014</v>
      </c>
      <c r="B58" s="2">
        <v>4006.14</v>
      </c>
      <c r="C58" s="2">
        <v>4013.59</v>
      </c>
      <c r="D58" s="2">
        <v>4017.76</v>
      </c>
      <c r="E58" s="2">
        <v>3992.67</v>
      </c>
      <c r="F58" t="s">
        <v>707</v>
      </c>
      <c r="G58" s="3">
        <v>1.6999999999999999E-3</v>
      </c>
    </row>
    <row r="59" spans="1:7" x14ac:dyDescent="0.3">
      <c r="A59" s="1">
        <v>45015</v>
      </c>
      <c r="B59" s="2">
        <v>4038.53</v>
      </c>
      <c r="C59" s="2">
        <v>4009.56</v>
      </c>
      <c r="D59" s="2">
        <v>4040.5</v>
      </c>
      <c r="E59" s="2">
        <v>3983.9</v>
      </c>
      <c r="F59" t="s">
        <v>706</v>
      </c>
      <c r="G59" s="3">
        <v>8.0999999999999996E-3</v>
      </c>
    </row>
    <row r="60" spans="1:7" x14ac:dyDescent="0.3">
      <c r="A60" s="1">
        <v>45016</v>
      </c>
      <c r="B60" s="2">
        <v>4050.93</v>
      </c>
      <c r="C60" s="2">
        <v>4045.45</v>
      </c>
      <c r="D60" s="2">
        <v>4063.57</v>
      </c>
      <c r="E60" s="2">
        <v>4039.96</v>
      </c>
      <c r="F60" t="s">
        <v>705</v>
      </c>
      <c r="G60" s="3">
        <v>3.0999999999999999E-3</v>
      </c>
    </row>
    <row r="61" spans="1:7" x14ac:dyDescent="0.3">
      <c r="A61" s="1">
        <v>45019</v>
      </c>
      <c r="B61" s="2">
        <v>4090.57</v>
      </c>
      <c r="C61" s="2">
        <v>4059.62</v>
      </c>
      <c r="D61" s="2">
        <v>4094.94</v>
      </c>
      <c r="E61" s="2">
        <v>4059.06</v>
      </c>
      <c r="F61" t="s">
        <v>704</v>
      </c>
      <c r="G61" s="3">
        <v>9.7999999999999997E-3</v>
      </c>
    </row>
    <row r="62" spans="1:7" x14ac:dyDescent="0.3">
      <c r="A62" s="1">
        <v>45020</v>
      </c>
      <c r="B62" s="2">
        <v>4103.1000000000004</v>
      </c>
      <c r="C62" s="2">
        <v>4089.29</v>
      </c>
      <c r="D62" s="2">
        <v>4103.16</v>
      </c>
      <c r="E62" s="2">
        <v>4080.07</v>
      </c>
      <c r="F62" t="s">
        <v>703</v>
      </c>
      <c r="G62" s="3">
        <v>3.0999999999999999E-3</v>
      </c>
    </row>
    <row r="63" spans="1:7" x14ac:dyDescent="0.3">
      <c r="A63" s="1">
        <v>45022</v>
      </c>
      <c r="B63" s="2">
        <v>4096.6400000000003</v>
      </c>
      <c r="C63" s="2">
        <v>4084.13</v>
      </c>
      <c r="D63" s="2">
        <v>4098.83</v>
      </c>
      <c r="E63" s="2">
        <v>4078.4</v>
      </c>
      <c r="F63" t="s">
        <v>697</v>
      </c>
      <c r="G63" s="3">
        <v>-1.6000000000000001E-3</v>
      </c>
    </row>
    <row r="64" spans="1:7" x14ac:dyDescent="0.3">
      <c r="A64" s="1">
        <v>45023</v>
      </c>
      <c r="B64" s="2">
        <v>4123.28</v>
      </c>
      <c r="C64" s="2">
        <v>4096.8999999999996</v>
      </c>
      <c r="D64" s="2">
        <v>4131.3100000000004</v>
      </c>
      <c r="E64" s="2">
        <v>4092.18</v>
      </c>
      <c r="F64" t="s">
        <v>702</v>
      </c>
      <c r="G64" s="3">
        <v>6.4999999999999997E-3</v>
      </c>
    </row>
    <row r="65" spans="1:7" x14ac:dyDescent="0.3">
      <c r="A65" s="1">
        <v>45026</v>
      </c>
      <c r="B65" s="2">
        <v>4104.8100000000004</v>
      </c>
      <c r="C65" s="2">
        <v>4132.01</v>
      </c>
      <c r="D65" s="2">
        <v>4132.3</v>
      </c>
      <c r="E65" s="2">
        <v>4099.05</v>
      </c>
      <c r="F65" t="s">
        <v>701</v>
      </c>
      <c r="G65" s="3">
        <v>-4.4999999999999997E-3</v>
      </c>
    </row>
    <row r="66" spans="1:7" x14ac:dyDescent="0.3">
      <c r="A66" s="1">
        <v>45027</v>
      </c>
      <c r="B66" s="2">
        <v>4100.1499999999996</v>
      </c>
      <c r="C66" s="2">
        <v>4108.51</v>
      </c>
      <c r="D66" s="2">
        <v>4116.12</v>
      </c>
      <c r="E66" s="2">
        <v>4083.49</v>
      </c>
      <c r="F66" t="s">
        <v>700</v>
      </c>
      <c r="G66" s="3">
        <v>-1.1000000000000001E-3</v>
      </c>
    </row>
    <row r="67" spans="1:7" x14ac:dyDescent="0.3">
      <c r="A67" s="1">
        <v>45028</v>
      </c>
      <c r="B67" s="2">
        <v>4097.29</v>
      </c>
      <c r="C67" s="2">
        <v>4102.3999999999996</v>
      </c>
      <c r="D67" s="2">
        <v>4108.25</v>
      </c>
      <c r="E67" s="2">
        <v>4090.28</v>
      </c>
      <c r="F67" t="s">
        <v>699</v>
      </c>
      <c r="G67" s="3">
        <v>-6.9999999999999999E-4</v>
      </c>
    </row>
    <row r="68" spans="1:7" x14ac:dyDescent="0.3">
      <c r="A68" s="1">
        <v>45029</v>
      </c>
      <c r="B68" s="2">
        <v>4068.98</v>
      </c>
      <c r="C68" s="2">
        <v>4081.39</v>
      </c>
      <c r="D68" s="2">
        <v>4088.88</v>
      </c>
      <c r="E68" s="2">
        <v>4059.57</v>
      </c>
      <c r="F68" t="s">
        <v>698</v>
      </c>
      <c r="G68" s="3">
        <v>-6.8999999999999999E-3</v>
      </c>
    </row>
    <row r="69" spans="1:7" x14ac:dyDescent="0.3">
      <c r="A69" s="1">
        <v>45030</v>
      </c>
      <c r="B69" s="2">
        <v>4092</v>
      </c>
      <c r="C69" s="2">
        <v>4078.97</v>
      </c>
      <c r="D69" s="2">
        <v>4098.22</v>
      </c>
      <c r="E69" s="2">
        <v>4075.2</v>
      </c>
      <c r="F69" t="s">
        <v>697</v>
      </c>
      <c r="G69" s="3">
        <v>5.7000000000000002E-3</v>
      </c>
    </row>
    <row r="70" spans="1:7" x14ac:dyDescent="0.3">
      <c r="A70" s="1">
        <v>45033</v>
      </c>
      <c r="B70" s="2">
        <v>4149.38</v>
      </c>
      <c r="C70" s="2">
        <v>4090.07</v>
      </c>
      <c r="D70" s="2">
        <v>4149.38</v>
      </c>
      <c r="E70" s="2">
        <v>4089.51</v>
      </c>
      <c r="F70" t="s">
        <v>696</v>
      </c>
      <c r="G70" s="3">
        <v>1.4E-2</v>
      </c>
    </row>
    <row r="71" spans="1:7" x14ac:dyDescent="0.3">
      <c r="A71" s="1">
        <v>45034</v>
      </c>
      <c r="B71" s="2">
        <v>4162.03</v>
      </c>
      <c r="C71" s="2">
        <v>4139.3100000000004</v>
      </c>
      <c r="D71" s="2">
        <v>4169.67</v>
      </c>
      <c r="E71" s="2">
        <v>4138.46</v>
      </c>
      <c r="F71" t="s">
        <v>695</v>
      </c>
      <c r="G71" s="3">
        <v>3.0000000000000001E-3</v>
      </c>
    </row>
    <row r="72" spans="1:7" x14ac:dyDescent="0.3">
      <c r="A72" s="1">
        <v>45035</v>
      </c>
      <c r="B72" s="2">
        <v>4124.5600000000004</v>
      </c>
      <c r="C72" s="2">
        <v>4159.3900000000003</v>
      </c>
      <c r="D72" s="2">
        <v>4159.3900000000003</v>
      </c>
      <c r="E72" s="2">
        <v>4118.63</v>
      </c>
      <c r="F72" t="s">
        <v>694</v>
      </c>
      <c r="G72" s="3">
        <v>-8.9999999999999993E-3</v>
      </c>
    </row>
    <row r="73" spans="1:7" x14ac:dyDescent="0.3">
      <c r="A73" s="1">
        <v>45036</v>
      </c>
      <c r="B73" s="2">
        <v>4113.0200000000004</v>
      </c>
      <c r="C73" s="2">
        <v>4122.95</v>
      </c>
      <c r="D73" s="2">
        <v>4125.82</v>
      </c>
      <c r="E73" s="2">
        <v>4094</v>
      </c>
      <c r="F73" t="s">
        <v>494</v>
      </c>
      <c r="G73" s="3">
        <v>-2.8E-3</v>
      </c>
    </row>
    <row r="74" spans="1:7" x14ac:dyDescent="0.3">
      <c r="A74" s="1">
        <v>45037</v>
      </c>
      <c r="B74" s="2">
        <v>4032.57</v>
      </c>
      <c r="C74" s="2">
        <v>4114.26</v>
      </c>
      <c r="D74" s="2">
        <v>4114.26</v>
      </c>
      <c r="E74" s="2">
        <v>4031.91</v>
      </c>
      <c r="F74" t="s">
        <v>693</v>
      </c>
      <c r="G74" s="3">
        <v>-1.9599999999999999E-2</v>
      </c>
    </row>
    <row r="75" spans="1:7" x14ac:dyDescent="0.3">
      <c r="A75" s="1">
        <v>45040</v>
      </c>
      <c r="B75" s="2">
        <v>3982.64</v>
      </c>
      <c r="C75" s="2">
        <v>4031.3</v>
      </c>
      <c r="D75" s="2">
        <v>4033.64</v>
      </c>
      <c r="E75" s="2">
        <v>3967.91</v>
      </c>
      <c r="F75" t="s">
        <v>692</v>
      </c>
      <c r="G75" s="3">
        <v>-1.24E-2</v>
      </c>
    </row>
    <row r="76" spans="1:7" x14ac:dyDescent="0.3">
      <c r="A76" s="1">
        <v>45041</v>
      </c>
      <c r="B76" s="2">
        <v>3962.67</v>
      </c>
      <c r="C76" s="2">
        <v>3985.11</v>
      </c>
      <c r="D76" s="2">
        <v>3991.69</v>
      </c>
      <c r="E76" s="2">
        <v>3925.44</v>
      </c>
      <c r="F76" t="s">
        <v>691</v>
      </c>
      <c r="G76" s="3">
        <v>-5.0000000000000001E-3</v>
      </c>
    </row>
    <row r="77" spans="1:7" x14ac:dyDescent="0.3">
      <c r="A77" s="1">
        <v>45042</v>
      </c>
      <c r="B77" s="2">
        <v>3959.23</v>
      </c>
      <c r="C77" s="2">
        <v>3950.26</v>
      </c>
      <c r="D77" s="2">
        <v>3975.66</v>
      </c>
      <c r="E77" s="2">
        <v>3934.66</v>
      </c>
      <c r="F77" t="s">
        <v>690</v>
      </c>
      <c r="G77" s="3">
        <v>-8.9999999999999998E-4</v>
      </c>
    </row>
    <row r="78" spans="1:7" x14ac:dyDescent="0.3">
      <c r="A78" s="1">
        <v>45043</v>
      </c>
      <c r="B78" s="2">
        <v>3988.42</v>
      </c>
      <c r="C78" s="2">
        <v>3948.03</v>
      </c>
      <c r="D78" s="2">
        <v>3999.13</v>
      </c>
      <c r="E78" s="2">
        <v>3942.82</v>
      </c>
      <c r="F78" t="s">
        <v>689</v>
      </c>
      <c r="G78" s="3">
        <v>7.4000000000000003E-3</v>
      </c>
    </row>
    <row r="79" spans="1:7" x14ac:dyDescent="0.3">
      <c r="A79" s="1">
        <v>45044</v>
      </c>
      <c r="B79" s="2">
        <v>4029.09</v>
      </c>
      <c r="C79" s="2">
        <v>3993.26</v>
      </c>
      <c r="D79" s="2">
        <v>4030.45</v>
      </c>
      <c r="E79" s="2">
        <v>3993.26</v>
      </c>
      <c r="F79" t="s">
        <v>688</v>
      </c>
      <c r="G79" s="3">
        <v>1.0200000000000001E-2</v>
      </c>
    </row>
    <row r="80" spans="1:7" x14ac:dyDescent="0.3">
      <c r="A80" s="1">
        <v>45050</v>
      </c>
      <c r="B80" s="2">
        <v>4030.25</v>
      </c>
      <c r="C80" s="2">
        <v>4013.47</v>
      </c>
      <c r="D80" s="2">
        <v>4035.78</v>
      </c>
      <c r="E80" s="2">
        <v>4001.13</v>
      </c>
      <c r="F80" t="s">
        <v>687</v>
      </c>
      <c r="G80" s="3">
        <v>2.9999999999999997E-4</v>
      </c>
    </row>
    <row r="81" spans="1:7" x14ac:dyDescent="0.3">
      <c r="A81" s="1">
        <v>45051</v>
      </c>
      <c r="B81" s="2">
        <v>4016.88</v>
      </c>
      <c r="C81" s="2">
        <v>4031.09</v>
      </c>
      <c r="D81" s="2">
        <v>4047.6</v>
      </c>
      <c r="E81" s="2">
        <v>3998.39</v>
      </c>
      <c r="F81" t="s">
        <v>686</v>
      </c>
      <c r="G81" s="3">
        <v>-3.3E-3</v>
      </c>
    </row>
    <row r="82" spans="1:7" x14ac:dyDescent="0.3">
      <c r="A82" s="1">
        <v>45054</v>
      </c>
      <c r="B82" s="2">
        <v>4062.66</v>
      </c>
      <c r="C82" s="2">
        <v>4028.11</v>
      </c>
      <c r="D82" s="2">
        <v>4070.77</v>
      </c>
      <c r="E82" s="2">
        <v>4018.96</v>
      </c>
      <c r="F82" t="s">
        <v>685</v>
      </c>
      <c r="G82" s="3">
        <v>1.14E-2</v>
      </c>
    </row>
    <row r="83" spans="1:7" x14ac:dyDescent="0.3">
      <c r="A83" s="1">
        <v>45055</v>
      </c>
      <c r="B83" s="2">
        <v>4027.88</v>
      </c>
      <c r="C83" s="2">
        <v>4065.44</v>
      </c>
      <c r="D83" s="2">
        <v>4092.85</v>
      </c>
      <c r="E83" s="2">
        <v>4026.39</v>
      </c>
      <c r="F83" t="s">
        <v>684</v>
      </c>
      <c r="G83" s="3">
        <v>-8.6E-3</v>
      </c>
    </row>
    <row r="84" spans="1:7" x14ac:dyDescent="0.3">
      <c r="A84" s="1">
        <v>45056</v>
      </c>
      <c r="B84" s="2">
        <v>3996.87</v>
      </c>
      <c r="C84" s="2">
        <v>4017.94</v>
      </c>
      <c r="D84" s="2">
        <v>4019.06</v>
      </c>
      <c r="E84" s="2">
        <v>3984.63</v>
      </c>
      <c r="F84" t="s">
        <v>683</v>
      </c>
      <c r="G84" s="3">
        <v>-7.7000000000000002E-3</v>
      </c>
    </row>
    <row r="85" spans="1:7" x14ac:dyDescent="0.3">
      <c r="A85" s="1">
        <v>45057</v>
      </c>
      <c r="B85" s="2">
        <v>3990.66</v>
      </c>
      <c r="C85" s="2">
        <v>4005.78</v>
      </c>
      <c r="D85" s="2">
        <v>4018.06</v>
      </c>
      <c r="E85" s="2">
        <v>3988.48</v>
      </c>
      <c r="F85" t="s">
        <v>682</v>
      </c>
      <c r="G85" s="3">
        <v>-1.6000000000000001E-3</v>
      </c>
    </row>
    <row r="86" spans="1:7" x14ac:dyDescent="0.3">
      <c r="A86" s="1">
        <v>45058</v>
      </c>
      <c r="B86" s="2">
        <v>3937.76</v>
      </c>
      <c r="C86" s="2">
        <v>3987.77</v>
      </c>
      <c r="D86" s="2">
        <v>3999.38</v>
      </c>
      <c r="E86" s="2">
        <v>3937.53</v>
      </c>
      <c r="F86" t="s">
        <v>242</v>
      </c>
      <c r="G86" s="3">
        <v>-1.3299999999999999E-2</v>
      </c>
    </row>
    <row r="87" spans="1:7" x14ac:dyDescent="0.3">
      <c r="A87" s="1">
        <v>45061</v>
      </c>
      <c r="B87" s="2">
        <v>3998.89</v>
      </c>
      <c r="C87" s="2">
        <v>3938.83</v>
      </c>
      <c r="D87" s="2">
        <v>3998.89</v>
      </c>
      <c r="E87" s="2">
        <v>3923.03</v>
      </c>
      <c r="F87" t="s">
        <v>681</v>
      </c>
      <c r="G87" s="3">
        <v>1.55E-2</v>
      </c>
    </row>
    <row r="88" spans="1:7" x14ac:dyDescent="0.3">
      <c r="A88" s="1">
        <v>45062</v>
      </c>
      <c r="B88" s="2">
        <v>3978.21</v>
      </c>
      <c r="C88" s="2">
        <v>4002.52</v>
      </c>
      <c r="D88" s="2">
        <v>4005.01</v>
      </c>
      <c r="E88" s="2">
        <v>3966.99</v>
      </c>
      <c r="F88" t="s">
        <v>680</v>
      </c>
      <c r="G88" s="3">
        <v>-5.1999999999999998E-3</v>
      </c>
    </row>
    <row r="89" spans="1:7" x14ac:dyDescent="0.3">
      <c r="A89" s="1">
        <v>45063</v>
      </c>
      <c r="B89" s="2">
        <v>3960.17</v>
      </c>
      <c r="C89" s="2">
        <v>3971.7</v>
      </c>
      <c r="D89" s="2">
        <v>3982.6</v>
      </c>
      <c r="E89" s="2">
        <v>3945.71</v>
      </c>
      <c r="F89" t="s">
        <v>418</v>
      </c>
      <c r="G89" s="3">
        <v>-4.4999999999999997E-3</v>
      </c>
    </row>
    <row r="90" spans="1:7" x14ac:dyDescent="0.3">
      <c r="A90" s="1">
        <v>45064</v>
      </c>
      <c r="B90" s="2">
        <v>3956.07</v>
      </c>
      <c r="C90" s="2">
        <v>3965.52</v>
      </c>
      <c r="D90" s="2">
        <v>3982.72</v>
      </c>
      <c r="E90" s="2">
        <v>3939.55</v>
      </c>
      <c r="F90" t="s">
        <v>679</v>
      </c>
      <c r="G90" s="3">
        <v>-1E-3</v>
      </c>
    </row>
    <row r="91" spans="1:7" x14ac:dyDescent="0.3">
      <c r="A91" s="1">
        <v>45065</v>
      </c>
      <c r="B91" s="2">
        <v>3944.54</v>
      </c>
      <c r="C91" s="2">
        <v>3946.22</v>
      </c>
      <c r="D91" s="2">
        <v>3967.28</v>
      </c>
      <c r="E91" s="2">
        <v>3928.32</v>
      </c>
      <c r="F91" t="s">
        <v>678</v>
      </c>
      <c r="G91" s="3">
        <v>-2.8999999999999998E-3</v>
      </c>
    </row>
    <row r="92" spans="1:7" x14ac:dyDescent="0.3">
      <c r="A92" s="1">
        <v>45068</v>
      </c>
      <c r="B92" s="2">
        <v>3969.33</v>
      </c>
      <c r="C92" s="2">
        <v>3941</v>
      </c>
      <c r="D92" s="2">
        <v>3985.4</v>
      </c>
      <c r="E92" s="2">
        <v>3935.8</v>
      </c>
      <c r="F92" t="s">
        <v>677</v>
      </c>
      <c r="G92" s="3">
        <v>6.3E-3</v>
      </c>
    </row>
    <row r="93" spans="1:7" x14ac:dyDescent="0.3">
      <c r="A93" s="1">
        <v>45069</v>
      </c>
      <c r="B93" s="2">
        <v>3913.19</v>
      </c>
      <c r="C93" s="2">
        <v>3968.23</v>
      </c>
      <c r="D93" s="2">
        <v>3971.94</v>
      </c>
      <c r="E93" s="2">
        <v>3913.19</v>
      </c>
      <c r="F93" t="s">
        <v>676</v>
      </c>
      <c r="G93" s="3">
        <v>-1.41E-2</v>
      </c>
    </row>
    <row r="94" spans="1:7" x14ac:dyDescent="0.3">
      <c r="A94" s="1">
        <v>45070</v>
      </c>
      <c r="B94" s="2">
        <v>3859.09</v>
      </c>
      <c r="C94" s="2">
        <v>3903.78</v>
      </c>
      <c r="D94" s="2">
        <v>3903.78</v>
      </c>
      <c r="E94" s="2">
        <v>3859.09</v>
      </c>
      <c r="F94" t="s">
        <v>276</v>
      </c>
      <c r="G94" s="3">
        <v>-1.38E-2</v>
      </c>
    </row>
    <row r="95" spans="1:7" x14ac:dyDescent="0.3">
      <c r="A95" s="1">
        <v>45071</v>
      </c>
      <c r="B95" s="2">
        <v>3850.5</v>
      </c>
      <c r="C95" s="2">
        <v>3851.41</v>
      </c>
      <c r="D95" s="2">
        <v>3861.38</v>
      </c>
      <c r="E95" s="2">
        <v>3817.84</v>
      </c>
      <c r="F95" t="s">
        <v>675</v>
      </c>
      <c r="G95" s="3">
        <v>-2.2000000000000001E-3</v>
      </c>
    </row>
    <row r="96" spans="1:7" x14ac:dyDescent="0.3">
      <c r="A96" s="1">
        <v>45072</v>
      </c>
      <c r="B96" s="2">
        <v>3850.95</v>
      </c>
      <c r="C96" s="2">
        <v>3848.42</v>
      </c>
      <c r="D96" s="2">
        <v>3859.63</v>
      </c>
      <c r="E96" s="2">
        <v>3815.57</v>
      </c>
      <c r="F96" t="s">
        <v>674</v>
      </c>
      <c r="G96" s="3">
        <v>1E-4</v>
      </c>
    </row>
    <row r="97" spans="1:7" x14ac:dyDescent="0.3">
      <c r="A97" s="1">
        <v>45075</v>
      </c>
      <c r="B97" s="2">
        <v>3833.94</v>
      </c>
      <c r="C97" s="2">
        <v>3862.08</v>
      </c>
      <c r="D97" s="2">
        <v>3866.72</v>
      </c>
      <c r="E97" s="2">
        <v>3819.18</v>
      </c>
      <c r="F97" t="s">
        <v>673</v>
      </c>
      <c r="G97" s="3">
        <v>-4.4000000000000003E-3</v>
      </c>
    </row>
    <row r="98" spans="1:7" x14ac:dyDescent="0.3">
      <c r="A98" s="1">
        <v>45076</v>
      </c>
      <c r="B98" s="2">
        <v>3837.75</v>
      </c>
      <c r="C98" s="2">
        <v>3827.79</v>
      </c>
      <c r="D98" s="2">
        <v>3844.01</v>
      </c>
      <c r="E98" s="2">
        <v>3789.27</v>
      </c>
      <c r="F98" t="s">
        <v>672</v>
      </c>
      <c r="G98" s="3">
        <v>1E-3</v>
      </c>
    </row>
    <row r="99" spans="1:7" x14ac:dyDescent="0.3">
      <c r="A99" s="1">
        <v>45077</v>
      </c>
      <c r="B99" s="2">
        <v>3798.54</v>
      </c>
      <c r="C99" s="2">
        <v>3827.16</v>
      </c>
      <c r="D99" s="2">
        <v>3827.16</v>
      </c>
      <c r="E99" s="2">
        <v>3781.4</v>
      </c>
      <c r="F99" t="s">
        <v>671</v>
      </c>
      <c r="G99" s="3">
        <v>-1.0200000000000001E-2</v>
      </c>
    </row>
    <row r="100" spans="1:7" x14ac:dyDescent="0.3">
      <c r="A100" s="1">
        <v>45078</v>
      </c>
      <c r="B100" s="2">
        <v>3806.87</v>
      </c>
      <c r="C100" s="2">
        <v>3788.59</v>
      </c>
      <c r="D100" s="2">
        <v>3832.21</v>
      </c>
      <c r="E100" s="2">
        <v>3786.73</v>
      </c>
      <c r="F100" t="s">
        <v>670</v>
      </c>
      <c r="G100" s="3">
        <v>2.2000000000000001E-3</v>
      </c>
    </row>
    <row r="101" spans="1:7" x14ac:dyDescent="0.3">
      <c r="A101" s="1">
        <v>45079</v>
      </c>
      <c r="B101" s="2">
        <v>3861.83</v>
      </c>
      <c r="C101" s="2">
        <v>3821.62</v>
      </c>
      <c r="D101" s="2">
        <v>3865.28</v>
      </c>
      <c r="E101" s="2">
        <v>3821.62</v>
      </c>
      <c r="F101" t="s">
        <v>669</v>
      </c>
      <c r="G101" s="3">
        <v>1.44E-2</v>
      </c>
    </row>
    <row r="102" spans="1:7" x14ac:dyDescent="0.3">
      <c r="A102" s="1">
        <v>45082</v>
      </c>
      <c r="B102" s="2">
        <v>3844.25</v>
      </c>
      <c r="C102" s="2">
        <v>3860.56</v>
      </c>
      <c r="D102" s="2">
        <v>3860.56</v>
      </c>
      <c r="E102" s="2">
        <v>3832.46</v>
      </c>
      <c r="F102" t="s">
        <v>668</v>
      </c>
      <c r="G102" s="3">
        <v>-4.5999999999999999E-3</v>
      </c>
    </row>
    <row r="103" spans="1:7" x14ac:dyDescent="0.3">
      <c r="A103" s="1">
        <v>45083</v>
      </c>
      <c r="B103" s="2">
        <v>3808.16</v>
      </c>
      <c r="C103" s="2">
        <v>3840.46</v>
      </c>
      <c r="D103" s="2">
        <v>3867.85</v>
      </c>
      <c r="E103" s="2">
        <v>3802.84</v>
      </c>
      <c r="F103" t="s">
        <v>667</v>
      </c>
      <c r="G103" s="3">
        <v>-9.4000000000000004E-3</v>
      </c>
    </row>
    <row r="104" spans="1:7" x14ac:dyDescent="0.3">
      <c r="A104" s="1">
        <v>45084</v>
      </c>
      <c r="B104" s="2">
        <v>3789.34</v>
      </c>
      <c r="C104" s="2">
        <v>3815.48</v>
      </c>
      <c r="D104" s="2">
        <v>3823.11</v>
      </c>
      <c r="E104" s="2">
        <v>3780.1</v>
      </c>
      <c r="F104" t="s">
        <v>666</v>
      </c>
      <c r="G104" s="3">
        <v>-4.8999999999999998E-3</v>
      </c>
    </row>
    <row r="105" spans="1:7" x14ac:dyDescent="0.3">
      <c r="A105" s="1">
        <v>45085</v>
      </c>
      <c r="B105" s="2">
        <v>3820.19</v>
      </c>
      <c r="C105" s="2">
        <v>3791.08</v>
      </c>
      <c r="D105" s="2">
        <v>3834.39</v>
      </c>
      <c r="E105" s="2">
        <v>3777.78</v>
      </c>
      <c r="F105" t="s">
        <v>665</v>
      </c>
      <c r="G105" s="3">
        <v>8.0999999999999996E-3</v>
      </c>
    </row>
    <row r="106" spans="1:7" x14ac:dyDescent="0.3">
      <c r="A106" s="1">
        <v>45086</v>
      </c>
      <c r="B106" s="2">
        <v>3836.7</v>
      </c>
      <c r="C106" s="2">
        <v>3822.41</v>
      </c>
      <c r="D106" s="2">
        <v>3836.7</v>
      </c>
      <c r="E106" s="2">
        <v>3811.22</v>
      </c>
      <c r="F106" t="s">
        <v>664</v>
      </c>
      <c r="G106" s="3">
        <v>4.3E-3</v>
      </c>
    </row>
    <row r="107" spans="1:7" x14ac:dyDescent="0.3">
      <c r="A107" s="1">
        <v>45089</v>
      </c>
      <c r="B107" s="2">
        <v>3844.43</v>
      </c>
      <c r="C107" s="2">
        <v>3827.33</v>
      </c>
      <c r="D107" s="2">
        <v>3859.72</v>
      </c>
      <c r="E107" s="2">
        <v>3813.86</v>
      </c>
      <c r="F107" t="s">
        <v>663</v>
      </c>
      <c r="G107" s="3">
        <v>2E-3</v>
      </c>
    </row>
    <row r="108" spans="1:7" x14ac:dyDescent="0.3">
      <c r="A108" s="1">
        <v>45090</v>
      </c>
      <c r="B108" s="2">
        <v>3864.91</v>
      </c>
      <c r="C108" s="2">
        <v>3838.13</v>
      </c>
      <c r="D108" s="2">
        <v>3867.3</v>
      </c>
      <c r="E108" s="2">
        <v>3833.46</v>
      </c>
      <c r="F108" t="s">
        <v>662</v>
      </c>
      <c r="G108" s="3">
        <v>5.3E-3</v>
      </c>
    </row>
    <row r="109" spans="1:7" x14ac:dyDescent="0.3">
      <c r="A109" s="1">
        <v>45091</v>
      </c>
      <c r="B109" s="2">
        <v>3864.02</v>
      </c>
      <c r="C109" s="2">
        <v>3872.72</v>
      </c>
      <c r="D109" s="2">
        <v>3891.67</v>
      </c>
      <c r="E109" s="2">
        <v>3862.06</v>
      </c>
      <c r="F109" t="s">
        <v>210</v>
      </c>
      <c r="G109" s="3">
        <v>-2.0000000000000001E-4</v>
      </c>
    </row>
    <row r="110" spans="1:7" x14ac:dyDescent="0.3">
      <c r="A110" s="1">
        <v>45092</v>
      </c>
      <c r="B110" s="2">
        <v>3925.5</v>
      </c>
      <c r="C110" s="2">
        <v>3871.77</v>
      </c>
      <c r="D110" s="2">
        <v>3925.5</v>
      </c>
      <c r="E110" s="2">
        <v>3871.77</v>
      </c>
      <c r="F110" t="s">
        <v>661</v>
      </c>
      <c r="G110" s="3">
        <v>1.5900000000000001E-2</v>
      </c>
    </row>
    <row r="111" spans="1:7" x14ac:dyDescent="0.3">
      <c r="A111" s="1">
        <v>45093</v>
      </c>
      <c r="B111" s="2">
        <v>3963.35</v>
      </c>
      <c r="C111" s="2">
        <v>3932.21</v>
      </c>
      <c r="D111" s="2">
        <v>3968.01</v>
      </c>
      <c r="E111" s="2">
        <v>3928.54</v>
      </c>
      <c r="F111" t="s">
        <v>660</v>
      </c>
      <c r="G111" s="3">
        <v>9.5999999999999992E-3</v>
      </c>
    </row>
    <row r="112" spans="1:7" x14ac:dyDescent="0.3">
      <c r="A112" s="1">
        <v>45096</v>
      </c>
      <c r="B112" s="2">
        <v>3930.91</v>
      </c>
      <c r="C112" s="2">
        <v>3957.03</v>
      </c>
      <c r="D112" s="2">
        <v>3957.03</v>
      </c>
      <c r="E112" s="2">
        <v>3922.47</v>
      </c>
      <c r="F112" t="s">
        <v>659</v>
      </c>
      <c r="G112" s="3">
        <v>-8.2000000000000007E-3</v>
      </c>
    </row>
    <row r="113" spans="1:7" x14ac:dyDescent="0.3">
      <c r="A113" s="1">
        <v>45097</v>
      </c>
      <c r="B113" s="2">
        <v>3924.24</v>
      </c>
      <c r="C113" s="2">
        <v>3926.09</v>
      </c>
      <c r="D113" s="2">
        <v>3937.49</v>
      </c>
      <c r="E113" s="2">
        <v>3918.47</v>
      </c>
      <c r="F113" t="s">
        <v>658</v>
      </c>
      <c r="G113" s="3">
        <v>-1.6999999999999999E-3</v>
      </c>
    </row>
    <row r="114" spans="1:7" x14ac:dyDescent="0.3">
      <c r="A114" s="1">
        <v>45098</v>
      </c>
      <c r="B114" s="2">
        <v>3864.03</v>
      </c>
      <c r="C114" s="2">
        <v>3909.1</v>
      </c>
      <c r="D114" s="2">
        <v>3920.13</v>
      </c>
      <c r="E114" s="2">
        <v>3864.03</v>
      </c>
      <c r="F114" t="s">
        <v>657</v>
      </c>
      <c r="G114" s="3">
        <v>-1.5299999999999999E-2</v>
      </c>
    </row>
    <row r="115" spans="1:7" x14ac:dyDescent="0.3">
      <c r="A115" s="1">
        <v>45103</v>
      </c>
      <c r="B115" s="2">
        <v>3809.7</v>
      </c>
      <c r="C115" s="2">
        <v>3833.44</v>
      </c>
      <c r="D115" s="2">
        <v>3841.29</v>
      </c>
      <c r="E115" s="2">
        <v>3801.05</v>
      </c>
      <c r="F115" t="s">
        <v>656</v>
      </c>
      <c r="G115" s="3">
        <v>-1.41E-2</v>
      </c>
    </row>
    <row r="116" spans="1:7" x14ac:dyDescent="0.3">
      <c r="A116" s="1">
        <v>45104</v>
      </c>
      <c r="B116" s="2">
        <v>3845.43</v>
      </c>
      <c r="C116" s="2">
        <v>3811.69</v>
      </c>
      <c r="D116" s="2">
        <v>3851.9</v>
      </c>
      <c r="E116" s="2">
        <v>3806.32</v>
      </c>
      <c r="F116" t="s">
        <v>655</v>
      </c>
      <c r="G116" s="3">
        <v>9.4000000000000004E-3</v>
      </c>
    </row>
    <row r="117" spans="1:7" x14ac:dyDescent="0.3">
      <c r="A117" s="1">
        <v>45105</v>
      </c>
      <c r="B117" s="2">
        <v>3840.8</v>
      </c>
      <c r="C117" s="2">
        <v>3836.61</v>
      </c>
      <c r="D117" s="2">
        <v>3846.85</v>
      </c>
      <c r="E117" s="2">
        <v>3808.16</v>
      </c>
      <c r="F117" t="s">
        <v>654</v>
      </c>
      <c r="G117" s="3">
        <v>-1.1999999999999999E-3</v>
      </c>
    </row>
    <row r="118" spans="1:7" x14ac:dyDescent="0.3">
      <c r="A118" s="1">
        <v>45106</v>
      </c>
      <c r="B118" s="2">
        <v>3821.84</v>
      </c>
      <c r="C118" s="2">
        <v>3836.73</v>
      </c>
      <c r="D118" s="2">
        <v>3840.71</v>
      </c>
      <c r="E118" s="2">
        <v>3817.38</v>
      </c>
      <c r="F118" t="s">
        <v>587</v>
      </c>
      <c r="G118" s="3">
        <v>-4.8999999999999998E-3</v>
      </c>
    </row>
    <row r="119" spans="1:7" x14ac:dyDescent="0.3">
      <c r="A119" s="1">
        <v>45107</v>
      </c>
      <c r="B119" s="2">
        <v>3842.45</v>
      </c>
      <c r="C119" s="2">
        <v>3816.33</v>
      </c>
      <c r="D119" s="2">
        <v>3860.03</v>
      </c>
      <c r="E119" s="2">
        <v>3813.55</v>
      </c>
      <c r="F119" t="s">
        <v>653</v>
      </c>
      <c r="G119" s="3">
        <v>5.4000000000000003E-3</v>
      </c>
    </row>
    <row r="120" spans="1:7" x14ac:dyDescent="0.3">
      <c r="A120" s="1">
        <v>45110</v>
      </c>
      <c r="B120" s="2">
        <v>3892.88</v>
      </c>
      <c r="C120" s="2">
        <v>3853.29</v>
      </c>
      <c r="D120" s="2">
        <v>3897.33</v>
      </c>
      <c r="E120" s="2">
        <v>3853.29</v>
      </c>
      <c r="F120" t="s">
        <v>652</v>
      </c>
      <c r="G120" s="3">
        <v>1.3100000000000001E-2</v>
      </c>
    </row>
    <row r="121" spans="1:7" x14ac:dyDescent="0.3">
      <c r="A121" s="1">
        <v>45111</v>
      </c>
      <c r="B121" s="2">
        <v>3899.01</v>
      </c>
      <c r="C121" s="2">
        <v>3888.03</v>
      </c>
      <c r="D121" s="2">
        <v>3899.98</v>
      </c>
      <c r="E121" s="2">
        <v>3878.4</v>
      </c>
      <c r="F121" t="s">
        <v>651</v>
      </c>
      <c r="G121" s="3">
        <v>1.6000000000000001E-3</v>
      </c>
    </row>
    <row r="122" spans="1:7" x14ac:dyDescent="0.3">
      <c r="A122" s="1">
        <v>45112</v>
      </c>
      <c r="B122" s="2">
        <v>3868.81</v>
      </c>
      <c r="C122" s="2">
        <v>3895.19</v>
      </c>
      <c r="D122" s="2">
        <v>3899.52</v>
      </c>
      <c r="E122" s="2">
        <v>3864.13</v>
      </c>
      <c r="F122" t="s">
        <v>650</v>
      </c>
      <c r="G122" s="3">
        <v>-7.7000000000000002E-3</v>
      </c>
    </row>
    <row r="123" spans="1:7" x14ac:dyDescent="0.3">
      <c r="A123" s="1">
        <v>45113</v>
      </c>
      <c r="B123" s="2">
        <v>3842.75</v>
      </c>
      <c r="C123" s="2">
        <v>3857.03</v>
      </c>
      <c r="D123" s="2">
        <v>3876.89</v>
      </c>
      <c r="E123" s="2">
        <v>3836.46</v>
      </c>
      <c r="F123" t="s">
        <v>649</v>
      </c>
      <c r="G123" s="3">
        <v>-6.7000000000000002E-3</v>
      </c>
    </row>
    <row r="124" spans="1:7" x14ac:dyDescent="0.3">
      <c r="A124" s="1">
        <v>45114</v>
      </c>
      <c r="B124" s="2">
        <v>3825.7</v>
      </c>
      <c r="C124" s="2">
        <v>3831.6</v>
      </c>
      <c r="D124" s="2">
        <v>3844.84</v>
      </c>
      <c r="E124" s="2">
        <v>3819.08</v>
      </c>
      <c r="F124" t="s">
        <v>648</v>
      </c>
      <c r="G124" s="3">
        <v>-4.4000000000000003E-3</v>
      </c>
    </row>
    <row r="125" spans="1:7" x14ac:dyDescent="0.3">
      <c r="A125" s="1">
        <v>45117</v>
      </c>
      <c r="B125" s="2">
        <v>3844.33</v>
      </c>
      <c r="C125" s="2">
        <v>3841.56</v>
      </c>
      <c r="D125" s="2">
        <v>3865.46</v>
      </c>
      <c r="E125" s="2">
        <v>3831.92</v>
      </c>
      <c r="F125" t="s">
        <v>647</v>
      </c>
      <c r="G125" s="3">
        <v>4.8999999999999998E-3</v>
      </c>
    </row>
    <row r="126" spans="1:7" x14ac:dyDescent="0.3">
      <c r="A126" s="1">
        <v>45118</v>
      </c>
      <c r="B126" s="2">
        <v>3869.49</v>
      </c>
      <c r="C126" s="2">
        <v>3853.8</v>
      </c>
      <c r="D126" s="2">
        <v>3870.65</v>
      </c>
      <c r="E126" s="2">
        <v>3844.52</v>
      </c>
      <c r="F126" t="s">
        <v>646</v>
      </c>
      <c r="G126" s="3">
        <v>6.4999999999999997E-3</v>
      </c>
    </row>
    <row r="127" spans="1:7" x14ac:dyDescent="0.3">
      <c r="A127" s="1">
        <v>45119</v>
      </c>
      <c r="B127" s="2">
        <v>3843.44</v>
      </c>
      <c r="C127" s="2">
        <v>3864.6</v>
      </c>
      <c r="D127" s="2">
        <v>3874.04</v>
      </c>
      <c r="E127" s="2">
        <v>3838.56</v>
      </c>
      <c r="F127" t="s">
        <v>214</v>
      </c>
      <c r="G127" s="3">
        <v>-6.7000000000000002E-3</v>
      </c>
    </row>
    <row r="128" spans="1:7" x14ac:dyDescent="0.3">
      <c r="A128" s="1">
        <v>45120</v>
      </c>
      <c r="B128" s="2">
        <v>3898.42</v>
      </c>
      <c r="C128" s="2">
        <v>3855.66</v>
      </c>
      <c r="D128" s="2">
        <v>3901.1</v>
      </c>
      <c r="E128" s="2">
        <v>3855.66</v>
      </c>
      <c r="F128" t="s">
        <v>645</v>
      </c>
      <c r="G128" s="3">
        <v>1.43E-2</v>
      </c>
    </row>
    <row r="129" spans="1:7" x14ac:dyDescent="0.3">
      <c r="A129" s="1">
        <v>45121</v>
      </c>
      <c r="B129" s="2">
        <v>3899.1</v>
      </c>
      <c r="C129" s="2">
        <v>3904.6</v>
      </c>
      <c r="D129" s="2">
        <v>3908.49</v>
      </c>
      <c r="E129" s="2">
        <v>3893.79</v>
      </c>
      <c r="F129" t="s">
        <v>222</v>
      </c>
      <c r="G129" s="3">
        <v>2.0000000000000001E-4</v>
      </c>
    </row>
    <row r="130" spans="1:7" x14ac:dyDescent="0.3">
      <c r="A130" s="1">
        <v>45124</v>
      </c>
      <c r="B130" s="2">
        <v>3867.17</v>
      </c>
      <c r="C130" s="2">
        <v>3881.62</v>
      </c>
      <c r="D130" s="2">
        <v>3881.62</v>
      </c>
      <c r="E130" s="2">
        <v>3852.26</v>
      </c>
      <c r="F130" t="s">
        <v>644</v>
      </c>
      <c r="G130" s="3">
        <v>-8.2000000000000007E-3</v>
      </c>
    </row>
    <row r="131" spans="1:7" x14ac:dyDescent="0.3">
      <c r="A131" s="1">
        <v>45125</v>
      </c>
      <c r="B131" s="2">
        <v>3854.94</v>
      </c>
      <c r="C131" s="2">
        <v>3871.04</v>
      </c>
      <c r="D131" s="2">
        <v>3871.04</v>
      </c>
      <c r="E131" s="2">
        <v>3844.51</v>
      </c>
      <c r="F131" t="s">
        <v>643</v>
      </c>
      <c r="G131" s="3">
        <v>-3.2000000000000002E-3</v>
      </c>
    </row>
    <row r="132" spans="1:7" x14ac:dyDescent="0.3">
      <c r="A132" s="1">
        <v>45126</v>
      </c>
      <c r="B132" s="2">
        <v>3850.87</v>
      </c>
      <c r="C132" s="2">
        <v>3848.48</v>
      </c>
      <c r="D132" s="2">
        <v>3860.01</v>
      </c>
      <c r="E132" s="2">
        <v>3830.41</v>
      </c>
      <c r="F132" t="s">
        <v>642</v>
      </c>
      <c r="G132" s="3">
        <v>-1.1000000000000001E-3</v>
      </c>
    </row>
    <row r="133" spans="1:7" x14ac:dyDescent="0.3">
      <c r="A133" s="1">
        <v>45127</v>
      </c>
      <c r="B133" s="2">
        <v>3823.69</v>
      </c>
      <c r="C133" s="2">
        <v>3857.77</v>
      </c>
      <c r="D133" s="2">
        <v>3875.62</v>
      </c>
      <c r="E133" s="2">
        <v>3818.71</v>
      </c>
      <c r="F133" t="s">
        <v>641</v>
      </c>
      <c r="G133" s="3">
        <v>-7.1000000000000004E-3</v>
      </c>
    </row>
    <row r="134" spans="1:7" x14ac:dyDescent="0.3">
      <c r="A134" s="1">
        <v>45128</v>
      </c>
      <c r="B134" s="2">
        <v>3821.91</v>
      </c>
      <c r="C134" s="2">
        <v>3816.98</v>
      </c>
      <c r="D134" s="2">
        <v>3849.51</v>
      </c>
      <c r="E134" s="2">
        <v>3808.8</v>
      </c>
      <c r="F134" t="s">
        <v>640</v>
      </c>
      <c r="G134" s="3">
        <v>-5.0000000000000001E-4</v>
      </c>
    </row>
    <row r="135" spans="1:7" x14ac:dyDescent="0.3">
      <c r="A135" s="1">
        <v>45131</v>
      </c>
      <c r="B135" s="2">
        <v>3805.22</v>
      </c>
      <c r="C135" s="2">
        <v>3803.35</v>
      </c>
      <c r="D135" s="2">
        <v>3828.79</v>
      </c>
      <c r="E135" s="2">
        <v>3798.8</v>
      </c>
      <c r="F135" t="s">
        <v>639</v>
      </c>
      <c r="G135" s="3">
        <v>-4.4000000000000003E-3</v>
      </c>
    </row>
    <row r="136" spans="1:7" x14ac:dyDescent="0.3">
      <c r="A136" s="1">
        <v>45132</v>
      </c>
      <c r="B136" s="2">
        <v>3915.12</v>
      </c>
      <c r="C136" s="2">
        <v>3866.64</v>
      </c>
      <c r="D136" s="2">
        <v>3915.81</v>
      </c>
      <c r="E136" s="2">
        <v>3866.64</v>
      </c>
      <c r="F136" t="s">
        <v>638</v>
      </c>
      <c r="G136" s="3">
        <v>2.8899999999999999E-2</v>
      </c>
    </row>
    <row r="137" spans="1:7" x14ac:dyDescent="0.3">
      <c r="A137" s="1">
        <v>45133</v>
      </c>
      <c r="B137" s="2">
        <v>3907.01</v>
      </c>
      <c r="C137" s="2">
        <v>3908.17</v>
      </c>
      <c r="D137" s="2">
        <v>3912.98</v>
      </c>
      <c r="E137" s="2">
        <v>3893.4</v>
      </c>
      <c r="F137" t="s">
        <v>637</v>
      </c>
      <c r="G137" s="3">
        <v>-2.0999999999999999E-3</v>
      </c>
    </row>
    <row r="138" spans="1:7" x14ac:dyDescent="0.3">
      <c r="A138" s="1">
        <v>45134</v>
      </c>
      <c r="B138" s="2">
        <v>3902.35</v>
      </c>
      <c r="C138" s="2">
        <v>3914.23</v>
      </c>
      <c r="D138" s="2">
        <v>3935.36</v>
      </c>
      <c r="E138" s="2">
        <v>3894.69</v>
      </c>
      <c r="F138" t="s">
        <v>636</v>
      </c>
      <c r="G138" s="3">
        <v>-1.1999999999999999E-3</v>
      </c>
    </row>
    <row r="139" spans="1:7" x14ac:dyDescent="0.3">
      <c r="A139" s="1">
        <v>45135</v>
      </c>
      <c r="B139" s="2">
        <v>3992.74</v>
      </c>
      <c r="C139" s="2">
        <v>3889.79</v>
      </c>
      <c r="D139" s="2">
        <v>4000.92</v>
      </c>
      <c r="E139" s="2">
        <v>3886.55</v>
      </c>
      <c r="F139" t="s">
        <v>635</v>
      </c>
      <c r="G139" s="3">
        <v>2.3199999999999998E-2</v>
      </c>
    </row>
    <row r="140" spans="1:7" x14ac:dyDescent="0.3">
      <c r="A140" s="1">
        <v>45138</v>
      </c>
      <c r="B140" s="2">
        <v>4014.63</v>
      </c>
      <c r="C140" s="2">
        <v>4018.89</v>
      </c>
      <c r="D140" s="2">
        <v>4064.36</v>
      </c>
      <c r="E140" s="2">
        <v>4002.08</v>
      </c>
      <c r="F140" t="s">
        <v>634</v>
      </c>
      <c r="G140" s="3">
        <v>5.4999999999999997E-3</v>
      </c>
    </row>
    <row r="141" spans="1:7" x14ac:dyDescent="0.3">
      <c r="A141" s="1">
        <v>45139</v>
      </c>
      <c r="B141" s="2">
        <v>3998</v>
      </c>
      <c r="C141" s="2">
        <v>4009.18</v>
      </c>
      <c r="D141" s="2">
        <v>4031.7</v>
      </c>
      <c r="E141" s="2">
        <v>3983.03</v>
      </c>
      <c r="F141" t="s">
        <v>633</v>
      </c>
      <c r="G141" s="3">
        <v>-4.1000000000000003E-3</v>
      </c>
    </row>
    <row r="142" spans="1:7" x14ac:dyDescent="0.3">
      <c r="A142" s="1">
        <v>45140</v>
      </c>
      <c r="B142" s="2">
        <v>3969.9</v>
      </c>
      <c r="C142" s="2">
        <v>3985.7</v>
      </c>
      <c r="D142" s="2">
        <v>4008.33</v>
      </c>
      <c r="E142" s="2">
        <v>3958.51</v>
      </c>
      <c r="F142" t="s">
        <v>632</v>
      </c>
      <c r="G142" s="3">
        <v>-7.0000000000000001E-3</v>
      </c>
    </row>
    <row r="143" spans="1:7" x14ac:dyDescent="0.3">
      <c r="A143" s="1">
        <v>45141</v>
      </c>
      <c r="B143" s="2">
        <v>4004.98</v>
      </c>
      <c r="C143" s="2">
        <v>3962.13</v>
      </c>
      <c r="D143" s="2">
        <v>4005</v>
      </c>
      <c r="E143" s="2">
        <v>3962.13</v>
      </c>
      <c r="F143" t="s">
        <v>631</v>
      </c>
      <c r="G143" s="3">
        <v>8.8000000000000005E-3</v>
      </c>
    </row>
    <row r="144" spans="1:7" x14ac:dyDescent="0.3">
      <c r="A144" s="1">
        <v>45142</v>
      </c>
      <c r="B144" s="2">
        <v>4020.58</v>
      </c>
      <c r="C144" s="2">
        <v>4033.72</v>
      </c>
      <c r="D144" s="2">
        <v>4058.24</v>
      </c>
      <c r="E144" s="2">
        <v>4011.62</v>
      </c>
      <c r="F144" t="s">
        <v>630</v>
      </c>
      <c r="G144" s="3">
        <v>3.8999999999999998E-3</v>
      </c>
    </row>
    <row r="145" spans="1:7" x14ac:dyDescent="0.3">
      <c r="A145" s="1">
        <v>45145</v>
      </c>
      <c r="B145" s="2">
        <v>3990.15</v>
      </c>
      <c r="C145" s="2">
        <v>4002.97</v>
      </c>
      <c r="D145" s="2">
        <v>4002.97</v>
      </c>
      <c r="E145" s="2">
        <v>3977.02</v>
      </c>
      <c r="F145" t="s">
        <v>629</v>
      </c>
      <c r="G145" s="3">
        <v>-7.6E-3</v>
      </c>
    </row>
    <row r="146" spans="1:7" x14ac:dyDescent="0.3">
      <c r="A146" s="1">
        <v>45146</v>
      </c>
      <c r="B146" s="2">
        <v>3979.73</v>
      </c>
      <c r="C146" s="2">
        <v>3980.04</v>
      </c>
      <c r="D146" s="2">
        <v>4002.29</v>
      </c>
      <c r="E146" s="2">
        <v>3963.46</v>
      </c>
      <c r="F146" t="s">
        <v>628</v>
      </c>
      <c r="G146" s="3">
        <v>-2.5999999999999999E-3</v>
      </c>
    </row>
    <row r="147" spans="1:7" x14ac:dyDescent="0.3">
      <c r="A147" s="1">
        <v>45147</v>
      </c>
      <c r="B147" s="2">
        <v>3967.57</v>
      </c>
      <c r="C147" s="2">
        <v>3967.36</v>
      </c>
      <c r="D147" s="2">
        <v>3982.11</v>
      </c>
      <c r="E147" s="2">
        <v>3961.84</v>
      </c>
      <c r="F147" t="s">
        <v>627</v>
      </c>
      <c r="G147" s="3">
        <v>-3.0999999999999999E-3</v>
      </c>
    </row>
    <row r="148" spans="1:7" x14ac:dyDescent="0.3">
      <c r="A148" s="1">
        <v>45148</v>
      </c>
      <c r="B148" s="2">
        <v>3975.72</v>
      </c>
      <c r="C148" s="2">
        <v>3962.86</v>
      </c>
      <c r="D148" s="2">
        <v>3976.46</v>
      </c>
      <c r="E148" s="2">
        <v>3945.39</v>
      </c>
      <c r="F148" t="s">
        <v>626</v>
      </c>
      <c r="G148" s="3">
        <v>2.0999999999999999E-3</v>
      </c>
    </row>
    <row r="149" spans="1:7" x14ac:dyDescent="0.3">
      <c r="A149" s="1">
        <v>45149</v>
      </c>
      <c r="B149" s="2">
        <v>3884.25</v>
      </c>
      <c r="C149" s="2">
        <v>3977.98</v>
      </c>
      <c r="D149" s="2">
        <v>3977.98</v>
      </c>
      <c r="E149" s="2">
        <v>3884.25</v>
      </c>
      <c r="F149" t="s">
        <v>625</v>
      </c>
      <c r="G149" s="3">
        <v>-2.3E-2</v>
      </c>
    </row>
    <row r="150" spans="1:7" x14ac:dyDescent="0.3">
      <c r="A150" s="1">
        <v>45152</v>
      </c>
      <c r="B150" s="2">
        <v>3855.91</v>
      </c>
      <c r="C150" s="2">
        <v>3840.89</v>
      </c>
      <c r="D150" s="2">
        <v>3859.47</v>
      </c>
      <c r="E150" s="2">
        <v>3814.07</v>
      </c>
      <c r="F150" t="s">
        <v>624</v>
      </c>
      <c r="G150" s="3">
        <v>-7.3000000000000001E-3</v>
      </c>
    </row>
    <row r="151" spans="1:7" x14ac:dyDescent="0.3">
      <c r="A151" s="1">
        <v>45153</v>
      </c>
      <c r="B151" s="2">
        <v>3846.54</v>
      </c>
      <c r="C151" s="2">
        <v>3858.37</v>
      </c>
      <c r="D151" s="2">
        <v>3865.28</v>
      </c>
      <c r="E151" s="2">
        <v>3811.68</v>
      </c>
      <c r="F151" t="s">
        <v>623</v>
      </c>
      <c r="G151" s="3">
        <v>-2.3999999999999998E-3</v>
      </c>
    </row>
    <row r="152" spans="1:7" x14ac:dyDescent="0.3">
      <c r="A152" s="1">
        <v>45154</v>
      </c>
      <c r="B152" s="2">
        <v>3818.33</v>
      </c>
      <c r="C152" s="2">
        <v>3830.83</v>
      </c>
      <c r="D152" s="2">
        <v>3852.42</v>
      </c>
      <c r="E152" s="2">
        <v>3817.63</v>
      </c>
      <c r="F152" t="s">
        <v>622</v>
      </c>
      <c r="G152" s="3">
        <v>-7.3000000000000001E-3</v>
      </c>
    </row>
    <row r="153" spans="1:7" x14ac:dyDescent="0.3">
      <c r="A153" s="1">
        <v>45155</v>
      </c>
      <c r="B153" s="2">
        <v>3831.1</v>
      </c>
      <c r="C153" s="2">
        <v>3801.2</v>
      </c>
      <c r="D153" s="2">
        <v>3836.15</v>
      </c>
      <c r="E153" s="2">
        <v>3782.5</v>
      </c>
      <c r="F153" t="s">
        <v>621</v>
      </c>
      <c r="G153" s="3">
        <v>3.3E-3</v>
      </c>
    </row>
    <row r="154" spans="1:7" x14ac:dyDescent="0.3">
      <c r="A154" s="1">
        <v>45156</v>
      </c>
      <c r="B154" s="2">
        <v>3784</v>
      </c>
      <c r="C154" s="2">
        <v>3832.46</v>
      </c>
      <c r="D154" s="2">
        <v>3844.2</v>
      </c>
      <c r="E154" s="2">
        <v>3784</v>
      </c>
      <c r="F154" t="s">
        <v>620</v>
      </c>
      <c r="G154" s="3">
        <v>-1.23E-2</v>
      </c>
    </row>
    <row r="155" spans="1:7" x14ac:dyDescent="0.3">
      <c r="A155" s="1">
        <v>45159</v>
      </c>
      <c r="B155" s="2">
        <v>3729.55</v>
      </c>
      <c r="C155" s="2">
        <v>3773.23</v>
      </c>
      <c r="D155" s="2">
        <v>3782.11</v>
      </c>
      <c r="E155" s="2">
        <v>3729.55</v>
      </c>
      <c r="F155" t="s">
        <v>619</v>
      </c>
      <c r="G155" s="3">
        <v>-1.44E-2</v>
      </c>
    </row>
    <row r="156" spans="1:7" x14ac:dyDescent="0.3">
      <c r="A156" s="1">
        <v>45160</v>
      </c>
      <c r="B156" s="2">
        <v>3758.23</v>
      </c>
      <c r="C156" s="2">
        <v>3748.07</v>
      </c>
      <c r="D156" s="2">
        <v>3770.06</v>
      </c>
      <c r="E156" s="2">
        <v>3704.68</v>
      </c>
      <c r="F156" t="s">
        <v>618</v>
      </c>
      <c r="G156" s="3">
        <v>7.7000000000000002E-3</v>
      </c>
    </row>
    <row r="157" spans="1:7" x14ac:dyDescent="0.3">
      <c r="A157" s="1">
        <v>45161</v>
      </c>
      <c r="B157" s="2">
        <v>3696.63</v>
      </c>
      <c r="C157" s="2">
        <v>3751.77</v>
      </c>
      <c r="D157" s="2">
        <v>3756.17</v>
      </c>
      <c r="E157" s="2">
        <v>3695.03</v>
      </c>
      <c r="F157" t="s">
        <v>617</v>
      </c>
      <c r="G157" s="3">
        <v>-1.6400000000000001E-2</v>
      </c>
    </row>
    <row r="158" spans="1:7" x14ac:dyDescent="0.3">
      <c r="A158" s="1">
        <v>45162</v>
      </c>
      <c r="B158" s="2">
        <v>3723.43</v>
      </c>
      <c r="C158" s="2">
        <v>3711.54</v>
      </c>
      <c r="D158" s="2">
        <v>3748.86</v>
      </c>
      <c r="E158" s="2">
        <v>3701.57</v>
      </c>
      <c r="F158" t="s">
        <v>616</v>
      </c>
      <c r="G158" s="3">
        <v>7.1999999999999998E-3</v>
      </c>
    </row>
    <row r="159" spans="1:7" x14ac:dyDescent="0.3">
      <c r="A159" s="1">
        <v>45163</v>
      </c>
      <c r="B159" s="2">
        <v>3709.15</v>
      </c>
      <c r="C159" s="2">
        <v>3703.51</v>
      </c>
      <c r="D159" s="2">
        <v>3734.22</v>
      </c>
      <c r="E159" s="2">
        <v>3695.84</v>
      </c>
      <c r="F159" t="s">
        <v>615</v>
      </c>
      <c r="G159" s="3">
        <v>-3.8E-3</v>
      </c>
    </row>
    <row r="160" spans="1:7" x14ac:dyDescent="0.3">
      <c r="A160" s="1">
        <v>45166</v>
      </c>
      <c r="B160" s="2">
        <v>3752.62</v>
      </c>
      <c r="C160" s="2">
        <v>3911.55</v>
      </c>
      <c r="D160" s="2">
        <v>3911.55</v>
      </c>
      <c r="E160" s="2">
        <v>3740.53</v>
      </c>
      <c r="F160" t="s">
        <v>614</v>
      </c>
      <c r="G160" s="3">
        <v>1.17E-2</v>
      </c>
    </row>
    <row r="161" spans="1:7" x14ac:dyDescent="0.3">
      <c r="A161" s="1">
        <v>45167</v>
      </c>
      <c r="B161" s="2">
        <v>3790.11</v>
      </c>
      <c r="C161" s="2">
        <v>3743.05</v>
      </c>
      <c r="D161" s="2">
        <v>3810.38</v>
      </c>
      <c r="E161" s="2">
        <v>3742.08</v>
      </c>
      <c r="F161" t="s">
        <v>613</v>
      </c>
      <c r="G161" s="3">
        <v>0.01</v>
      </c>
    </row>
    <row r="162" spans="1:7" x14ac:dyDescent="0.3">
      <c r="A162" s="1">
        <v>45168</v>
      </c>
      <c r="B162" s="2">
        <v>3788.51</v>
      </c>
      <c r="C162" s="2">
        <v>3803.12</v>
      </c>
      <c r="D162" s="2">
        <v>3813.7</v>
      </c>
      <c r="E162" s="2">
        <v>3780.24</v>
      </c>
      <c r="F162" t="s">
        <v>469</v>
      </c>
      <c r="G162" s="3">
        <v>-4.0000000000000002E-4</v>
      </c>
    </row>
    <row r="163" spans="1:7" x14ac:dyDescent="0.3">
      <c r="A163" s="1">
        <v>45169</v>
      </c>
      <c r="B163" s="2">
        <v>3765.27</v>
      </c>
      <c r="C163" s="2">
        <v>3786.93</v>
      </c>
      <c r="D163" s="2">
        <v>3794</v>
      </c>
      <c r="E163" s="2">
        <v>3762</v>
      </c>
      <c r="F163" t="s">
        <v>612</v>
      </c>
      <c r="G163" s="3">
        <v>-6.1000000000000004E-3</v>
      </c>
    </row>
    <row r="164" spans="1:7" x14ac:dyDescent="0.3">
      <c r="A164" s="1">
        <v>45170</v>
      </c>
      <c r="B164" s="2">
        <v>3791.49</v>
      </c>
      <c r="C164" s="2">
        <v>3778.91</v>
      </c>
      <c r="D164" s="2">
        <v>3808.53</v>
      </c>
      <c r="E164" s="2">
        <v>3778.91</v>
      </c>
      <c r="F164" t="s">
        <v>611</v>
      </c>
      <c r="G164" s="3">
        <v>7.0000000000000001E-3</v>
      </c>
    </row>
    <row r="165" spans="1:7" x14ac:dyDescent="0.3">
      <c r="A165" s="1">
        <v>45173</v>
      </c>
      <c r="B165" s="2">
        <v>3848.95</v>
      </c>
      <c r="C165" s="2">
        <v>3812.99</v>
      </c>
      <c r="D165" s="2">
        <v>3854.26</v>
      </c>
      <c r="E165" s="2">
        <v>3804.59</v>
      </c>
      <c r="F165" t="s">
        <v>610</v>
      </c>
      <c r="G165" s="3">
        <v>1.52E-2</v>
      </c>
    </row>
    <row r="166" spans="1:7" x14ac:dyDescent="0.3">
      <c r="A166" s="1">
        <v>45174</v>
      </c>
      <c r="B166" s="2">
        <v>3820.32</v>
      </c>
      <c r="C166" s="2">
        <v>3839.58</v>
      </c>
      <c r="D166" s="2">
        <v>3839.58</v>
      </c>
      <c r="E166" s="2">
        <v>3814.33</v>
      </c>
      <c r="F166" t="s">
        <v>609</v>
      </c>
      <c r="G166" s="3">
        <v>-7.4000000000000003E-3</v>
      </c>
    </row>
    <row r="167" spans="1:7" x14ac:dyDescent="0.3">
      <c r="A167" s="1">
        <v>45175</v>
      </c>
      <c r="B167" s="2">
        <v>3812.03</v>
      </c>
      <c r="C167" s="2">
        <v>3808.1</v>
      </c>
      <c r="D167" s="2">
        <v>3817.52</v>
      </c>
      <c r="E167" s="2">
        <v>3790.9</v>
      </c>
      <c r="F167" t="s">
        <v>608</v>
      </c>
      <c r="G167" s="3">
        <v>-2.2000000000000001E-3</v>
      </c>
    </row>
    <row r="168" spans="1:7" x14ac:dyDescent="0.3">
      <c r="A168" s="1">
        <v>45176</v>
      </c>
      <c r="B168" s="2">
        <v>3758.47</v>
      </c>
      <c r="C168" s="2">
        <v>3802.23</v>
      </c>
      <c r="D168" s="2">
        <v>3802.23</v>
      </c>
      <c r="E168" s="2">
        <v>3756.85</v>
      </c>
      <c r="F168" t="s">
        <v>607</v>
      </c>
      <c r="G168" s="3">
        <v>-1.4E-2</v>
      </c>
    </row>
    <row r="169" spans="1:7" x14ac:dyDescent="0.3">
      <c r="A169" s="1">
        <v>45177</v>
      </c>
      <c r="B169" s="2">
        <v>3739.99</v>
      </c>
      <c r="C169" s="2">
        <v>3747.65</v>
      </c>
      <c r="D169" s="2">
        <v>3753.26</v>
      </c>
      <c r="E169" s="2">
        <v>3724.99</v>
      </c>
      <c r="F169" t="s">
        <v>606</v>
      </c>
      <c r="G169" s="3">
        <v>-4.8999999999999998E-3</v>
      </c>
    </row>
    <row r="170" spans="1:7" x14ac:dyDescent="0.3">
      <c r="A170" s="1">
        <v>45180</v>
      </c>
      <c r="B170" s="2">
        <v>3767.54</v>
      </c>
      <c r="C170" s="2">
        <v>3740.58</v>
      </c>
      <c r="D170" s="2">
        <v>3788.32</v>
      </c>
      <c r="E170" s="2">
        <v>3734.72</v>
      </c>
      <c r="F170" t="s">
        <v>605</v>
      </c>
      <c r="G170" s="3">
        <v>7.4000000000000003E-3</v>
      </c>
    </row>
    <row r="171" spans="1:7" x14ac:dyDescent="0.3">
      <c r="A171" s="1">
        <v>45181</v>
      </c>
      <c r="B171" s="2">
        <v>3760.6</v>
      </c>
      <c r="C171" s="2">
        <v>3764.33</v>
      </c>
      <c r="D171" s="2">
        <v>3775.09</v>
      </c>
      <c r="E171" s="2">
        <v>3755.42</v>
      </c>
      <c r="F171" t="s">
        <v>604</v>
      </c>
      <c r="G171" s="3">
        <v>-1.8E-3</v>
      </c>
    </row>
    <row r="172" spans="1:7" x14ac:dyDescent="0.3">
      <c r="A172" s="1">
        <v>45182</v>
      </c>
      <c r="B172" s="2">
        <v>3736.65</v>
      </c>
      <c r="C172" s="2">
        <v>3759.61</v>
      </c>
      <c r="D172" s="2">
        <v>3768.82</v>
      </c>
      <c r="E172" s="2">
        <v>3719.11</v>
      </c>
      <c r="F172" t="s">
        <v>603</v>
      </c>
      <c r="G172" s="3">
        <v>-6.4000000000000003E-3</v>
      </c>
    </row>
    <row r="173" spans="1:7" x14ac:dyDescent="0.3">
      <c r="A173" s="1">
        <v>45183</v>
      </c>
      <c r="B173" s="2">
        <v>3733.51</v>
      </c>
      <c r="C173" s="2">
        <v>3736.94</v>
      </c>
      <c r="D173" s="2">
        <v>3748.82</v>
      </c>
      <c r="E173" s="2">
        <v>3717.31</v>
      </c>
      <c r="F173" t="s">
        <v>602</v>
      </c>
      <c r="G173" s="3">
        <v>-8.0000000000000004E-4</v>
      </c>
    </row>
    <row r="174" spans="1:7" x14ac:dyDescent="0.3">
      <c r="A174" s="1">
        <v>45184</v>
      </c>
      <c r="B174" s="2">
        <v>3708.78</v>
      </c>
      <c r="C174" s="2">
        <v>3740.79</v>
      </c>
      <c r="D174" s="2">
        <v>3749.02</v>
      </c>
      <c r="E174" s="2">
        <v>3699.38</v>
      </c>
      <c r="F174" t="s">
        <v>601</v>
      </c>
      <c r="G174" s="3">
        <v>-6.6E-3</v>
      </c>
    </row>
    <row r="175" spans="1:7" x14ac:dyDescent="0.3">
      <c r="A175" s="1">
        <v>45187</v>
      </c>
      <c r="B175" s="2">
        <v>3727.71</v>
      </c>
      <c r="C175" s="2">
        <v>3698.93</v>
      </c>
      <c r="D175" s="2">
        <v>3737.53</v>
      </c>
      <c r="E175" s="2">
        <v>3691.11</v>
      </c>
      <c r="F175" t="s">
        <v>600</v>
      </c>
      <c r="G175" s="3">
        <v>5.1000000000000004E-3</v>
      </c>
    </row>
    <row r="176" spans="1:7" x14ac:dyDescent="0.3">
      <c r="A176" s="1">
        <v>45188</v>
      </c>
      <c r="B176" s="2">
        <v>3720.5</v>
      </c>
      <c r="C176" s="2">
        <v>3723.42</v>
      </c>
      <c r="D176" s="2">
        <v>3724.07</v>
      </c>
      <c r="E176" s="2">
        <v>3702.69</v>
      </c>
      <c r="F176" t="s">
        <v>599</v>
      </c>
      <c r="G176" s="3">
        <v>-1.9E-3</v>
      </c>
    </row>
    <row r="177" spans="1:7" x14ac:dyDescent="0.3">
      <c r="A177" s="1">
        <v>45189</v>
      </c>
      <c r="B177" s="2">
        <v>3705.69</v>
      </c>
      <c r="C177" s="2">
        <v>3715.96</v>
      </c>
      <c r="D177" s="2">
        <v>3718.52</v>
      </c>
      <c r="E177" s="2">
        <v>3705.13</v>
      </c>
      <c r="F177" t="s">
        <v>598</v>
      </c>
      <c r="G177" s="3">
        <v>-4.0000000000000001E-3</v>
      </c>
    </row>
    <row r="178" spans="1:7" x14ac:dyDescent="0.3">
      <c r="A178" s="1">
        <v>45190</v>
      </c>
      <c r="B178" s="2">
        <v>3672.44</v>
      </c>
      <c r="C178" s="2">
        <v>3698.31</v>
      </c>
      <c r="D178" s="2">
        <v>3708.46</v>
      </c>
      <c r="E178" s="2">
        <v>3672.44</v>
      </c>
      <c r="F178" t="s">
        <v>597</v>
      </c>
      <c r="G178" s="3">
        <v>-8.9999999999999993E-3</v>
      </c>
    </row>
    <row r="179" spans="1:7" x14ac:dyDescent="0.3">
      <c r="A179" s="1">
        <v>45191</v>
      </c>
      <c r="B179" s="2">
        <v>3738.93</v>
      </c>
      <c r="C179" s="2">
        <v>3672.64</v>
      </c>
      <c r="D179" s="2">
        <v>3740.42</v>
      </c>
      <c r="E179" s="2">
        <v>3664.77</v>
      </c>
      <c r="F179" t="s">
        <v>596</v>
      </c>
      <c r="G179" s="3">
        <v>1.8100000000000002E-2</v>
      </c>
    </row>
    <row r="180" spans="1:7" x14ac:dyDescent="0.3">
      <c r="A180" s="1">
        <v>45194</v>
      </c>
      <c r="B180" s="2">
        <v>3714.6</v>
      </c>
      <c r="C180" s="2">
        <v>3738.06</v>
      </c>
      <c r="D180" s="2">
        <v>3738.06</v>
      </c>
      <c r="E180" s="2">
        <v>3711.2</v>
      </c>
      <c r="F180" t="s">
        <v>595</v>
      </c>
      <c r="G180" s="3">
        <v>-6.4999999999999997E-3</v>
      </c>
    </row>
    <row r="181" spans="1:7" x14ac:dyDescent="0.3">
      <c r="A181" s="1">
        <v>45195</v>
      </c>
      <c r="B181" s="2">
        <v>3692.89</v>
      </c>
      <c r="C181" s="2">
        <v>3711.71</v>
      </c>
      <c r="D181" s="2">
        <v>3723.85</v>
      </c>
      <c r="E181" s="2">
        <v>3692.62</v>
      </c>
      <c r="F181" t="s">
        <v>594</v>
      </c>
      <c r="G181" s="3">
        <v>-5.7999999999999996E-3</v>
      </c>
    </row>
    <row r="182" spans="1:7" x14ac:dyDescent="0.3">
      <c r="A182" s="1">
        <v>45196</v>
      </c>
      <c r="B182" s="2">
        <v>3700.5</v>
      </c>
      <c r="C182" s="2">
        <v>3694.96</v>
      </c>
      <c r="D182" s="2">
        <v>3731.14</v>
      </c>
      <c r="E182" s="2">
        <v>3694.39</v>
      </c>
      <c r="F182" t="s">
        <v>593</v>
      </c>
      <c r="G182" s="3">
        <v>2.0999999999999999E-3</v>
      </c>
    </row>
    <row r="183" spans="1:7" x14ac:dyDescent="0.3">
      <c r="A183" s="1">
        <v>45197</v>
      </c>
      <c r="B183" s="2">
        <v>3689.52</v>
      </c>
      <c r="C183" s="2">
        <v>3711.21</v>
      </c>
      <c r="D183" s="2">
        <v>3716.06</v>
      </c>
      <c r="E183" s="2">
        <v>3685.3</v>
      </c>
      <c r="F183" t="s">
        <v>592</v>
      </c>
      <c r="G183" s="3">
        <v>-3.0000000000000001E-3</v>
      </c>
    </row>
    <row r="184" spans="1:7" x14ac:dyDescent="0.3">
      <c r="A184" s="1">
        <v>45208</v>
      </c>
      <c r="B184" s="2">
        <v>3684.73</v>
      </c>
      <c r="C184" s="2">
        <v>3678.93</v>
      </c>
      <c r="D184" s="2">
        <v>3694.17</v>
      </c>
      <c r="E184" s="2">
        <v>3642</v>
      </c>
      <c r="F184" t="s">
        <v>591</v>
      </c>
      <c r="G184" s="3">
        <v>-1.2999999999999999E-3</v>
      </c>
    </row>
    <row r="185" spans="1:7" x14ac:dyDescent="0.3">
      <c r="A185" s="1">
        <v>45209</v>
      </c>
      <c r="B185" s="2">
        <v>3657.13</v>
      </c>
      <c r="C185" s="2">
        <v>3696.25</v>
      </c>
      <c r="D185" s="2">
        <v>3701.26</v>
      </c>
      <c r="E185" s="2">
        <v>3655.59</v>
      </c>
      <c r="F185" t="s">
        <v>590</v>
      </c>
      <c r="G185" s="3">
        <v>-7.4999999999999997E-3</v>
      </c>
    </row>
    <row r="186" spans="1:7" x14ac:dyDescent="0.3">
      <c r="A186" s="1">
        <v>45210</v>
      </c>
      <c r="B186" s="2">
        <v>3667.55</v>
      </c>
      <c r="C186" s="2">
        <v>3674.75</v>
      </c>
      <c r="D186" s="2">
        <v>3689.53</v>
      </c>
      <c r="E186" s="2">
        <v>3658.35</v>
      </c>
      <c r="F186" t="s">
        <v>589</v>
      </c>
      <c r="G186" s="3">
        <v>2.8E-3</v>
      </c>
    </row>
    <row r="187" spans="1:7" x14ac:dyDescent="0.3">
      <c r="A187" s="1">
        <v>45211</v>
      </c>
      <c r="B187" s="2">
        <v>3702.38</v>
      </c>
      <c r="C187" s="2">
        <v>3697.93</v>
      </c>
      <c r="D187" s="2">
        <v>3711.5</v>
      </c>
      <c r="E187" s="2">
        <v>3682.84</v>
      </c>
      <c r="F187" t="s">
        <v>588</v>
      </c>
      <c r="G187" s="3">
        <v>9.4999999999999998E-3</v>
      </c>
    </row>
    <row r="188" spans="1:7" x14ac:dyDescent="0.3">
      <c r="A188" s="1">
        <v>45212</v>
      </c>
      <c r="B188" s="2">
        <v>3663.41</v>
      </c>
      <c r="C188" s="2">
        <v>3677.96</v>
      </c>
      <c r="D188" s="2">
        <v>3678.19</v>
      </c>
      <c r="E188" s="2">
        <v>3652.31</v>
      </c>
      <c r="F188" t="s">
        <v>587</v>
      </c>
      <c r="G188" s="3">
        <v>-1.0500000000000001E-2</v>
      </c>
    </row>
    <row r="189" spans="1:7" x14ac:dyDescent="0.3">
      <c r="A189" s="1">
        <v>45215</v>
      </c>
      <c r="B189" s="2">
        <v>3626.6</v>
      </c>
      <c r="C189" s="2">
        <v>3664.04</v>
      </c>
      <c r="D189" s="2">
        <v>3664.04</v>
      </c>
      <c r="E189" s="2">
        <v>3615.77</v>
      </c>
      <c r="F189" t="s">
        <v>586</v>
      </c>
      <c r="G189" s="3">
        <v>-0.01</v>
      </c>
    </row>
    <row r="190" spans="1:7" x14ac:dyDescent="0.3">
      <c r="A190" s="1">
        <v>45216</v>
      </c>
      <c r="B190" s="2">
        <v>3639.4</v>
      </c>
      <c r="C190" s="2">
        <v>3635.3</v>
      </c>
      <c r="D190" s="2">
        <v>3645.57</v>
      </c>
      <c r="E190" s="2">
        <v>3619.13</v>
      </c>
      <c r="F190" t="s">
        <v>585</v>
      </c>
      <c r="G190" s="3">
        <v>3.5000000000000001E-3</v>
      </c>
    </row>
    <row r="191" spans="1:7" x14ac:dyDescent="0.3">
      <c r="A191" s="1">
        <v>45217</v>
      </c>
      <c r="B191" s="2">
        <v>3610.58</v>
      </c>
      <c r="C191" s="2">
        <v>3631.07</v>
      </c>
      <c r="D191" s="2">
        <v>3632.06</v>
      </c>
      <c r="E191" s="2">
        <v>3608.98</v>
      </c>
      <c r="F191" t="s">
        <v>584</v>
      </c>
      <c r="G191" s="3">
        <v>-7.9000000000000008E-3</v>
      </c>
    </row>
    <row r="192" spans="1:7" x14ac:dyDescent="0.3">
      <c r="A192" s="1">
        <v>45218</v>
      </c>
      <c r="B192" s="2">
        <v>3533.54</v>
      </c>
      <c r="C192" s="2">
        <v>3588.52</v>
      </c>
      <c r="D192" s="2">
        <v>3588.52</v>
      </c>
      <c r="E192" s="2">
        <v>3532.31</v>
      </c>
      <c r="F192" t="s">
        <v>583</v>
      </c>
      <c r="G192" s="3">
        <v>-2.1299999999999999E-2</v>
      </c>
    </row>
    <row r="193" spans="1:7" x14ac:dyDescent="0.3">
      <c r="A193" s="1">
        <v>45219</v>
      </c>
      <c r="B193" s="2">
        <v>3510.59</v>
      </c>
      <c r="C193" s="2">
        <v>3518.35</v>
      </c>
      <c r="D193" s="2">
        <v>3535.66</v>
      </c>
      <c r="E193" s="2">
        <v>3501.73</v>
      </c>
      <c r="F193" t="s">
        <v>582</v>
      </c>
      <c r="G193" s="3">
        <v>-6.4999999999999997E-3</v>
      </c>
    </row>
    <row r="194" spans="1:7" x14ac:dyDescent="0.3">
      <c r="A194" s="1">
        <v>45222</v>
      </c>
      <c r="B194" s="2">
        <v>3474.24</v>
      </c>
      <c r="C194" s="2">
        <v>3500.2</v>
      </c>
      <c r="D194" s="2">
        <v>3505.35</v>
      </c>
      <c r="E194" s="2">
        <v>3450.65</v>
      </c>
      <c r="F194" t="s">
        <v>581</v>
      </c>
      <c r="G194" s="3">
        <v>-1.04E-2</v>
      </c>
    </row>
    <row r="195" spans="1:7" x14ac:dyDescent="0.3">
      <c r="A195" s="1">
        <v>45223</v>
      </c>
      <c r="B195" s="2">
        <v>3487.13</v>
      </c>
      <c r="C195" s="2">
        <v>3481.76</v>
      </c>
      <c r="D195" s="2">
        <v>3495</v>
      </c>
      <c r="E195" s="2">
        <v>3453.1</v>
      </c>
      <c r="F195" t="s">
        <v>580</v>
      </c>
      <c r="G195" s="3">
        <v>3.7000000000000002E-3</v>
      </c>
    </row>
    <row r="196" spans="1:7" x14ac:dyDescent="0.3">
      <c r="A196" s="1">
        <v>45224</v>
      </c>
      <c r="B196" s="2">
        <v>3504.46</v>
      </c>
      <c r="C196" s="2">
        <v>3524.3</v>
      </c>
      <c r="D196" s="2">
        <v>3531.83</v>
      </c>
      <c r="E196" s="2">
        <v>3500.92</v>
      </c>
      <c r="F196" t="s">
        <v>579</v>
      </c>
      <c r="G196" s="3">
        <v>5.0000000000000001E-3</v>
      </c>
    </row>
    <row r="197" spans="1:7" x14ac:dyDescent="0.3">
      <c r="A197" s="1">
        <v>45225</v>
      </c>
      <c r="B197" s="2">
        <v>3514.14</v>
      </c>
      <c r="C197" s="2">
        <v>3484.78</v>
      </c>
      <c r="D197" s="2">
        <v>3515.57</v>
      </c>
      <c r="E197" s="2">
        <v>3478.05</v>
      </c>
      <c r="F197" t="s">
        <v>578</v>
      </c>
      <c r="G197" s="3">
        <v>2.8E-3</v>
      </c>
    </row>
    <row r="198" spans="1:7" x14ac:dyDescent="0.3">
      <c r="A198" s="1">
        <v>45226</v>
      </c>
      <c r="B198" s="2">
        <v>3562.39</v>
      </c>
      <c r="C198" s="2">
        <v>3501.17</v>
      </c>
      <c r="D198" s="2">
        <v>3576.59</v>
      </c>
      <c r="E198" s="2">
        <v>3494.55</v>
      </c>
      <c r="F198" t="s">
        <v>577</v>
      </c>
      <c r="G198" s="3">
        <v>1.37E-2</v>
      </c>
    </row>
    <row r="199" spans="1:7" x14ac:dyDescent="0.3">
      <c r="A199" s="1">
        <v>45229</v>
      </c>
      <c r="B199" s="2">
        <v>3583.77</v>
      </c>
      <c r="C199" s="2">
        <v>3554.11</v>
      </c>
      <c r="D199" s="2">
        <v>3592.72</v>
      </c>
      <c r="E199" s="2">
        <v>3554.02</v>
      </c>
      <c r="F199" t="s">
        <v>576</v>
      </c>
      <c r="G199" s="3">
        <v>6.0000000000000001E-3</v>
      </c>
    </row>
    <row r="200" spans="1:7" x14ac:dyDescent="0.3">
      <c r="A200" s="1">
        <v>45230</v>
      </c>
      <c r="B200" s="2">
        <v>3572.51</v>
      </c>
      <c r="C200" s="2">
        <v>3581.68</v>
      </c>
      <c r="D200" s="2">
        <v>3581.68</v>
      </c>
      <c r="E200" s="2">
        <v>3554.58</v>
      </c>
      <c r="F200" t="s">
        <v>575</v>
      </c>
      <c r="G200" s="3">
        <v>-3.0999999999999999E-3</v>
      </c>
    </row>
    <row r="201" spans="1:7" x14ac:dyDescent="0.3">
      <c r="A201" s="1">
        <v>45231</v>
      </c>
      <c r="B201" s="2">
        <v>3571.03</v>
      </c>
      <c r="C201" s="2">
        <v>3605.76</v>
      </c>
      <c r="D201" s="2">
        <v>3606.41</v>
      </c>
      <c r="E201" s="2">
        <v>3564.64</v>
      </c>
      <c r="F201" t="s">
        <v>574</v>
      </c>
      <c r="G201" s="3">
        <v>-4.0000000000000002E-4</v>
      </c>
    </row>
    <row r="202" spans="1:7" x14ac:dyDescent="0.3">
      <c r="A202" s="1">
        <v>45232</v>
      </c>
      <c r="B202" s="2">
        <v>3554.19</v>
      </c>
      <c r="C202" s="2">
        <v>3580.07</v>
      </c>
      <c r="D202" s="2">
        <v>3597.17</v>
      </c>
      <c r="E202" s="2">
        <v>3553.74</v>
      </c>
      <c r="F202" t="s">
        <v>573</v>
      </c>
      <c r="G202" s="3">
        <v>-4.7000000000000002E-3</v>
      </c>
    </row>
    <row r="203" spans="1:7" x14ac:dyDescent="0.3">
      <c r="A203" s="1">
        <v>45233</v>
      </c>
      <c r="B203" s="2">
        <v>3584.14</v>
      </c>
      <c r="C203" s="2">
        <v>3558.53</v>
      </c>
      <c r="D203" s="2">
        <v>3596.1</v>
      </c>
      <c r="E203" s="2">
        <v>3558.53</v>
      </c>
      <c r="F203" t="s">
        <v>572</v>
      </c>
      <c r="G203" s="3">
        <v>8.3999999999999995E-3</v>
      </c>
    </row>
    <row r="204" spans="1:7" x14ac:dyDescent="0.3">
      <c r="A204" s="1">
        <v>45236</v>
      </c>
      <c r="B204" s="2">
        <v>3632.61</v>
      </c>
      <c r="C204" s="2">
        <v>3608.32</v>
      </c>
      <c r="D204" s="2">
        <v>3635.79</v>
      </c>
      <c r="E204" s="2">
        <v>3600.63</v>
      </c>
      <c r="F204" t="s">
        <v>571</v>
      </c>
      <c r="G204" s="3">
        <v>1.35E-2</v>
      </c>
    </row>
    <row r="205" spans="1:7" x14ac:dyDescent="0.3">
      <c r="A205" s="1">
        <v>45237</v>
      </c>
      <c r="B205" s="2">
        <v>3619.76</v>
      </c>
      <c r="C205" s="2">
        <v>3623.78</v>
      </c>
      <c r="D205" s="2">
        <v>3628.46</v>
      </c>
      <c r="E205" s="2">
        <v>3606.3</v>
      </c>
      <c r="F205" t="s">
        <v>570</v>
      </c>
      <c r="G205" s="3">
        <v>-3.5000000000000001E-3</v>
      </c>
    </row>
    <row r="206" spans="1:7" x14ac:dyDescent="0.3">
      <c r="A206" s="1">
        <v>45238</v>
      </c>
      <c r="B206" s="2">
        <v>3611.07</v>
      </c>
      <c r="C206" s="2">
        <v>3610.64</v>
      </c>
      <c r="D206" s="2">
        <v>3627.05</v>
      </c>
      <c r="E206" s="2">
        <v>3591.82</v>
      </c>
      <c r="F206" t="s">
        <v>569</v>
      </c>
      <c r="G206" s="3">
        <v>-2.3999999999999998E-3</v>
      </c>
    </row>
    <row r="207" spans="1:7" x14ac:dyDescent="0.3">
      <c r="A207" s="1">
        <v>45239</v>
      </c>
      <c r="B207" s="2">
        <v>3612.83</v>
      </c>
      <c r="C207" s="2">
        <v>3603.11</v>
      </c>
      <c r="D207" s="2">
        <v>3624.41</v>
      </c>
      <c r="E207" s="2">
        <v>3601.37</v>
      </c>
      <c r="F207" t="s">
        <v>568</v>
      </c>
      <c r="G207" s="3">
        <v>5.0000000000000001E-4</v>
      </c>
    </row>
    <row r="208" spans="1:7" x14ac:dyDescent="0.3">
      <c r="A208" s="1">
        <v>45240</v>
      </c>
      <c r="B208" s="2">
        <v>3586.49</v>
      </c>
      <c r="C208" s="2">
        <v>3596.07</v>
      </c>
      <c r="D208" s="2">
        <v>3599.45</v>
      </c>
      <c r="E208" s="2">
        <v>3576.1</v>
      </c>
      <c r="F208" t="s">
        <v>567</v>
      </c>
      <c r="G208" s="3">
        <v>-7.3000000000000001E-3</v>
      </c>
    </row>
    <row r="209" spans="1:7" x14ac:dyDescent="0.3">
      <c r="A209" s="1">
        <v>45243</v>
      </c>
      <c r="B209" s="2">
        <v>3579.41</v>
      </c>
      <c r="C209" s="2">
        <v>3593.91</v>
      </c>
      <c r="D209" s="2">
        <v>3599.39</v>
      </c>
      <c r="E209" s="2">
        <v>3562.77</v>
      </c>
      <c r="F209" t="s">
        <v>566</v>
      </c>
      <c r="G209" s="3">
        <v>-2E-3</v>
      </c>
    </row>
    <row r="210" spans="1:7" x14ac:dyDescent="0.3">
      <c r="A210" s="1">
        <v>45244</v>
      </c>
      <c r="B210" s="2">
        <v>3582.06</v>
      </c>
      <c r="C210" s="2">
        <v>3581.1</v>
      </c>
      <c r="D210" s="2">
        <v>3600.15</v>
      </c>
      <c r="E210" s="2">
        <v>3568.88</v>
      </c>
      <c r="F210" t="s">
        <v>565</v>
      </c>
      <c r="G210" s="3">
        <v>6.9999999999999999E-4</v>
      </c>
    </row>
    <row r="211" spans="1:7" x14ac:dyDescent="0.3">
      <c r="A211" s="1">
        <v>45245</v>
      </c>
      <c r="B211" s="2">
        <v>3607.25</v>
      </c>
      <c r="C211" s="2">
        <v>3616.88</v>
      </c>
      <c r="D211" s="2">
        <v>3620.6</v>
      </c>
      <c r="E211" s="2">
        <v>3596.92</v>
      </c>
      <c r="F211" t="s">
        <v>564</v>
      </c>
      <c r="G211" s="3">
        <v>7.0000000000000001E-3</v>
      </c>
    </row>
    <row r="212" spans="1:7" x14ac:dyDescent="0.3">
      <c r="A212" s="1">
        <v>45246</v>
      </c>
      <c r="B212" s="2">
        <v>3572.36</v>
      </c>
      <c r="C212" s="2">
        <v>3600.98</v>
      </c>
      <c r="D212" s="2">
        <v>3605.29</v>
      </c>
      <c r="E212" s="2">
        <v>3572.36</v>
      </c>
      <c r="F212" t="s">
        <v>563</v>
      </c>
      <c r="G212" s="3">
        <v>-9.7000000000000003E-3</v>
      </c>
    </row>
    <row r="213" spans="1:7" x14ac:dyDescent="0.3">
      <c r="A213" s="1">
        <v>45247</v>
      </c>
      <c r="B213" s="2">
        <v>3568.07</v>
      </c>
      <c r="C213" s="2">
        <v>3561.31</v>
      </c>
      <c r="D213" s="2">
        <v>3573.68</v>
      </c>
      <c r="E213" s="2">
        <v>3547.03</v>
      </c>
      <c r="F213" t="s">
        <v>562</v>
      </c>
      <c r="G213" s="3">
        <v>-1.1999999999999999E-3</v>
      </c>
    </row>
    <row r="214" spans="1:7" x14ac:dyDescent="0.3">
      <c r="A214" s="1">
        <v>45250</v>
      </c>
      <c r="B214" s="2">
        <v>3576.32</v>
      </c>
      <c r="C214" s="2">
        <v>3569.73</v>
      </c>
      <c r="D214" s="2">
        <v>3586.97</v>
      </c>
      <c r="E214" s="2">
        <v>3545.1</v>
      </c>
      <c r="F214" t="s">
        <v>561</v>
      </c>
      <c r="G214" s="3">
        <v>2.3E-3</v>
      </c>
    </row>
    <row r="215" spans="1:7" x14ac:dyDescent="0.3">
      <c r="A215" s="1">
        <v>45251</v>
      </c>
      <c r="B215" s="2">
        <v>3581.07</v>
      </c>
      <c r="C215" s="2">
        <v>3587.88</v>
      </c>
      <c r="D215" s="2">
        <v>3615.06</v>
      </c>
      <c r="E215" s="2">
        <v>3575.68</v>
      </c>
      <c r="F215" t="s">
        <v>560</v>
      </c>
      <c r="G215" s="3">
        <v>1.2999999999999999E-3</v>
      </c>
    </row>
    <row r="216" spans="1:7" x14ac:dyDescent="0.3">
      <c r="A216" s="1">
        <v>45252</v>
      </c>
      <c r="B216" s="2">
        <v>3544.42</v>
      </c>
      <c r="C216" s="2">
        <v>3569.44</v>
      </c>
      <c r="D216" s="2">
        <v>3574.38</v>
      </c>
      <c r="E216" s="2">
        <v>3544.42</v>
      </c>
      <c r="F216" t="s">
        <v>559</v>
      </c>
      <c r="G216" s="3">
        <v>-1.0200000000000001E-2</v>
      </c>
    </row>
    <row r="217" spans="1:7" x14ac:dyDescent="0.3">
      <c r="A217" s="1">
        <v>45253</v>
      </c>
      <c r="B217" s="2">
        <v>3561.52</v>
      </c>
      <c r="C217" s="2">
        <v>3541.44</v>
      </c>
      <c r="D217" s="2">
        <v>3562.07</v>
      </c>
      <c r="E217" s="2">
        <v>3529.94</v>
      </c>
      <c r="F217" t="s">
        <v>558</v>
      </c>
      <c r="G217" s="3">
        <v>4.7999999999999996E-3</v>
      </c>
    </row>
    <row r="218" spans="1:7" x14ac:dyDescent="0.3">
      <c r="A218" s="1">
        <v>45254</v>
      </c>
      <c r="B218" s="2">
        <v>3538.01</v>
      </c>
      <c r="C218" s="2">
        <v>3560.65</v>
      </c>
      <c r="D218" s="2">
        <v>3560.65</v>
      </c>
      <c r="E218" s="2">
        <v>3534</v>
      </c>
      <c r="F218" t="s">
        <v>557</v>
      </c>
      <c r="G218" s="3">
        <v>-6.6E-3</v>
      </c>
    </row>
    <row r="219" spans="1:7" x14ac:dyDescent="0.3">
      <c r="A219" s="1">
        <v>45257</v>
      </c>
      <c r="B219" s="2">
        <v>3511.94</v>
      </c>
      <c r="C219" s="2">
        <v>3534.44</v>
      </c>
      <c r="D219" s="2">
        <v>3534.44</v>
      </c>
      <c r="E219" s="2">
        <v>3492.86</v>
      </c>
      <c r="F219" t="s">
        <v>556</v>
      </c>
      <c r="G219" s="3">
        <v>-7.4000000000000003E-3</v>
      </c>
    </row>
    <row r="220" spans="1:7" x14ac:dyDescent="0.3">
      <c r="A220" s="1">
        <v>45258</v>
      </c>
      <c r="B220" s="2">
        <v>3518.52</v>
      </c>
      <c r="C220" s="2">
        <v>3510.66</v>
      </c>
      <c r="D220" s="2">
        <v>3521.05</v>
      </c>
      <c r="E220" s="2">
        <v>3501.11</v>
      </c>
      <c r="F220" t="s">
        <v>555</v>
      </c>
      <c r="G220" s="3">
        <v>1.9E-3</v>
      </c>
    </row>
    <row r="221" spans="1:7" x14ac:dyDescent="0.3">
      <c r="A221" s="1">
        <v>45259</v>
      </c>
      <c r="B221" s="2">
        <v>3488.31</v>
      </c>
      <c r="C221" s="2">
        <v>3518.88</v>
      </c>
      <c r="D221" s="2">
        <v>3519.2</v>
      </c>
      <c r="E221" s="2">
        <v>3482.24</v>
      </c>
      <c r="F221" t="s">
        <v>554</v>
      </c>
      <c r="G221" s="3">
        <v>-8.6E-3</v>
      </c>
    </row>
    <row r="222" spans="1:7" x14ac:dyDescent="0.3">
      <c r="A222" s="1">
        <v>45260</v>
      </c>
      <c r="B222" s="2">
        <v>3496.2</v>
      </c>
      <c r="C222" s="2">
        <v>3485.52</v>
      </c>
      <c r="D222" s="2">
        <v>3505.13</v>
      </c>
      <c r="E222" s="2">
        <v>3481.45</v>
      </c>
      <c r="F222" t="s">
        <v>553</v>
      </c>
      <c r="G222" s="3">
        <v>2.3E-3</v>
      </c>
    </row>
    <row r="223" spans="1:7" x14ac:dyDescent="0.3">
      <c r="A223" s="1">
        <v>45261</v>
      </c>
      <c r="B223" s="2">
        <v>3482.88</v>
      </c>
      <c r="C223" s="2">
        <v>3494.22</v>
      </c>
      <c r="D223" s="2">
        <v>3494.22</v>
      </c>
      <c r="E223" s="2">
        <v>3452.17</v>
      </c>
      <c r="F223" t="s">
        <v>552</v>
      </c>
      <c r="G223" s="3">
        <v>-3.8E-3</v>
      </c>
    </row>
    <row r="224" spans="1:7" x14ac:dyDescent="0.3">
      <c r="A224" s="1">
        <v>45264</v>
      </c>
      <c r="B224" s="2">
        <v>3460.14</v>
      </c>
      <c r="C224" s="2">
        <v>3481.04</v>
      </c>
      <c r="D224" s="2">
        <v>3488.13</v>
      </c>
      <c r="E224" s="2">
        <v>3459.61</v>
      </c>
      <c r="F224" t="s">
        <v>551</v>
      </c>
      <c r="G224" s="3">
        <v>-6.4999999999999997E-3</v>
      </c>
    </row>
    <row r="225" spans="1:7" x14ac:dyDescent="0.3">
      <c r="A225" s="1">
        <v>45265</v>
      </c>
      <c r="B225" s="2">
        <v>3394.26</v>
      </c>
      <c r="C225" s="2">
        <v>3450.09</v>
      </c>
      <c r="D225" s="2">
        <v>3450.09</v>
      </c>
      <c r="E225" s="2">
        <v>3393.81</v>
      </c>
      <c r="F225" t="s">
        <v>550</v>
      </c>
      <c r="G225" s="3">
        <v>-1.9E-2</v>
      </c>
    </row>
    <row r="226" spans="1:7" x14ac:dyDescent="0.3">
      <c r="A226" s="1">
        <v>45266</v>
      </c>
      <c r="B226" s="2">
        <v>3399.6</v>
      </c>
      <c r="C226" s="2">
        <v>3387.88</v>
      </c>
      <c r="D226" s="2">
        <v>3420.28</v>
      </c>
      <c r="E226" s="2">
        <v>3382.95</v>
      </c>
      <c r="F226" t="s">
        <v>549</v>
      </c>
      <c r="G226" s="3">
        <v>1.6000000000000001E-3</v>
      </c>
    </row>
    <row r="227" spans="1:7" x14ac:dyDescent="0.3">
      <c r="A227" s="1">
        <v>45267</v>
      </c>
      <c r="B227" s="2">
        <v>3391.28</v>
      </c>
      <c r="C227" s="2">
        <v>3394.31</v>
      </c>
      <c r="D227" s="2">
        <v>3404.41</v>
      </c>
      <c r="E227" s="2">
        <v>3369.77</v>
      </c>
      <c r="F227" t="s">
        <v>548</v>
      </c>
      <c r="G227" s="3">
        <v>-2.3999999999999998E-3</v>
      </c>
    </row>
    <row r="228" spans="1:7" x14ac:dyDescent="0.3">
      <c r="A228" s="1">
        <v>45268</v>
      </c>
      <c r="B228" s="2">
        <v>3399.46</v>
      </c>
      <c r="C228" s="2">
        <v>3391.86</v>
      </c>
      <c r="D228" s="2">
        <v>3409.38</v>
      </c>
      <c r="E228" s="2">
        <v>3383.45</v>
      </c>
      <c r="F228" t="s">
        <v>547</v>
      </c>
      <c r="G228" s="3">
        <v>2.3999999999999998E-3</v>
      </c>
    </row>
    <row r="229" spans="1:7" x14ac:dyDescent="0.3">
      <c r="A229" s="1">
        <v>45271</v>
      </c>
      <c r="B229" s="2">
        <v>3419.45</v>
      </c>
      <c r="C229" s="2">
        <v>3378.05</v>
      </c>
      <c r="D229" s="2">
        <v>3426.61</v>
      </c>
      <c r="E229" s="2">
        <v>3346.89</v>
      </c>
      <c r="F229" t="s">
        <v>546</v>
      </c>
      <c r="G229" s="3">
        <v>5.8999999999999999E-3</v>
      </c>
    </row>
    <row r="230" spans="1:7" x14ac:dyDescent="0.3">
      <c r="A230" s="1">
        <v>45272</v>
      </c>
      <c r="B230" s="2">
        <v>3426.8</v>
      </c>
      <c r="C230" s="2">
        <v>3410</v>
      </c>
      <c r="D230" s="2">
        <v>3427.55</v>
      </c>
      <c r="E230" s="2">
        <v>3406.1</v>
      </c>
      <c r="F230" t="s">
        <v>545</v>
      </c>
      <c r="G230" s="3">
        <v>2.0999999999999999E-3</v>
      </c>
    </row>
    <row r="231" spans="1:7" x14ac:dyDescent="0.3">
      <c r="A231" s="1">
        <v>45273</v>
      </c>
      <c r="B231" s="2">
        <v>3369.6</v>
      </c>
      <c r="C231" s="2">
        <v>3418.64</v>
      </c>
      <c r="D231" s="2">
        <v>3418.64</v>
      </c>
      <c r="E231" s="2">
        <v>3369.6</v>
      </c>
      <c r="F231" t="s">
        <v>544</v>
      </c>
      <c r="G231" s="3">
        <v>-1.67E-2</v>
      </c>
    </row>
    <row r="232" spans="1:7" x14ac:dyDescent="0.3">
      <c r="A232" s="1">
        <v>45274</v>
      </c>
      <c r="B232" s="2">
        <v>3351.96</v>
      </c>
      <c r="C232" s="2">
        <v>3387.38</v>
      </c>
      <c r="D232" s="2">
        <v>3399.14</v>
      </c>
      <c r="E232" s="2">
        <v>3350.76</v>
      </c>
      <c r="F232" t="s">
        <v>543</v>
      </c>
      <c r="G232" s="3">
        <v>-5.1999999999999998E-3</v>
      </c>
    </row>
    <row r="233" spans="1:7" x14ac:dyDescent="0.3">
      <c r="A233" s="1">
        <v>45275</v>
      </c>
      <c r="B233" s="2">
        <v>3341.55</v>
      </c>
      <c r="C233" s="2">
        <v>3365.94</v>
      </c>
      <c r="D233" s="2">
        <v>3388.5</v>
      </c>
      <c r="E233" s="2">
        <v>3339.52</v>
      </c>
      <c r="F233" t="s">
        <v>542</v>
      </c>
      <c r="G233" s="3">
        <v>-3.0999999999999999E-3</v>
      </c>
    </row>
    <row r="234" spans="1:7" x14ac:dyDescent="0.3">
      <c r="A234" s="1">
        <v>45278</v>
      </c>
      <c r="B234" s="2">
        <v>3329.37</v>
      </c>
      <c r="C234" s="2">
        <v>3329.19</v>
      </c>
      <c r="D234" s="2">
        <v>3352.35</v>
      </c>
      <c r="E234" s="2">
        <v>3314.91</v>
      </c>
      <c r="F234" t="s">
        <v>541</v>
      </c>
      <c r="G234" s="3">
        <v>-3.5999999999999999E-3</v>
      </c>
    </row>
    <row r="235" spans="1:7" x14ac:dyDescent="0.3">
      <c r="A235" s="1">
        <v>45279</v>
      </c>
      <c r="B235" s="2">
        <v>3334.04</v>
      </c>
      <c r="C235" s="2">
        <v>3325.66</v>
      </c>
      <c r="D235" s="2">
        <v>3345.78</v>
      </c>
      <c r="E235" s="2">
        <v>3313.19</v>
      </c>
      <c r="F235" t="s">
        <v>540</v>
      </c>
      <c r="G235" s="3">
        <v>1.4E-3</v>
      </c>
    </row>
    <row r="236" spans="1:7" x14ac:dyDescent="0.3">
      <c r="A236" s="1">
        <v>45280</v>
      </c>
      <c r="B236" s="2">
        <v>3297.5</v>
      </c>
      <c r="C236" s="2">
        <v>3334.33</v>
      </c>
      <c r="D236" s="2">
        <v>3338.54</v>
      </c>
      <c r="E236" s="2">
        <v>3297.37</v>
      </c>
      <c r="F236" t="s">
        <v>539</v>
      </c>
      <c r="G236" s="3">
        <v>-1.0999999999999999E-2</v>
      </c>
    </row>
    <row r="237" spans="1:7" x14ac:dyDescent="0.3">
      <c r="A237" s="1">
        <v>45281</v>
      </c>
      <c r="B237" s="2">
        <v>3330.87</v>
      </c>
      <c r="C237" s="2">
        <v>3285.6</v>
      </c>
      <c r="D237" s="2">
        <v>3339.36</v>
      </c>
      <c r="E237" s="2">
        <v>3283.99</v>
      </c>
      <c r="F237" t="s">
        <v>538</v>
      </c>
      <c r="G237" s="3">
        <v>1.01E-2</v>
      </c>
    </row>
    <row r="238" spans="1:7" x14ac:dyDescent="0.3">
      <c r="A238" s="1">
        <v>45282</v>
      </c>
      <c r="B238" s="2">
        <v>3337.23</v>
      </c>
      <c r="C238" s="2">
        <v>3329.47</v>
      </c>
      <c r="D238" s="2">
        <v>3359.06</v>
      </c>
      <c r="E238" s="2">
        <v>3315.9</v>
      </c>
      <c r="F238" t="s">
        <v>537</v>
      </c>
      <c r="G238" s="3">
        <v>1.9E-3</v>
      </c>
    </row>
    <row r="239" spans="1:7" x14ac:dyDescent="0.3">
      <c r="A239" s="1">
        <v>45285</v>
      </c>
      <c r="B239" s="2">
        <v>3347.45</v>
      </c>
      <c r="C239" s="2">
        <v>3330.33</v>
      </c>
      <c r="D239" s="2">
        <v>3348.88</v>
      </c>
      <c r="E239" s="2">
        <v>3330.33</v>
      </c>
      <c r="F239" t="s">
        <v>536</v>
      </c>
      <c r="G239" s="3">
        <v>3.0999999999999999E-3</v>
      </c>
    </row>
    <row r="240" spans="1:7" x14ac:dyDescent="0.3">
      <c r="A240" s="1">
        <v>45286</v>
      </c>
      <c r="B240" s="2">
        <v>3324.79</v>
      </c>
      <c r="C240" s="2">
        <v>3345.4</v>
      </c>
      <c r="D240" s="2">
        <v>3345.42</v>
      </c>
      <c r="E240" s="2">
        <v>3315.94</v>
      </c>
      <c r="F240" t="s">
        <v>535</v>
      </c>
      <c r="G240" s="3">
        <v>-6.7999999999999996E-3</v>
      </c>
    </row>
    <row r="241" spans="1:7" x14ac:dyDescent="0.3">
      <c r="A241" s="1">
        <v>45287</v>
      </c>
      <c r="B241" s="2">
        <v>3336.36</v>
      </c>
      <c r="C241" s="2">
        <v>3326.93</v>
      </c>
      <c r="D241" s="2">
        <v>3341.27</v>
      </c>
      <c r="E241" s="2">
        <v>3309.67</v>
      </c>
      <c r="F241" t="s">
        <v>534</v>
      </c>
      <c r="G241" s="3">
        <v>3.5000000000000001E-3</v>
      </c>
    </row>
    <row r="242" spans="1:7" x14ac:dyDescent="0.3">
      <c r="A242" s="1">
        <v>45288</v>
      </c>
      <c r="B242" s="2">
        <v>3414.54</v>
      </c>
      <c r="C242" s="2">
        <v>3335.56</v>
      </c>
      <c r="D242" s="2">
        <v>3423.4</v>
      </c>
      <c r="E242" s="2">
        <v>3331.21</v>
      </c>
      <c r="F242" t="s">
        <v>533</v>
      </c>
      <c r="G242" s="3">
        <v>2.3400000000000001E-2</v>
      </c>
    </row>
    <row r="243" spans="1:7" x14ac:dyDescent="0.3">
      <c r="A243" s="1">
        <v>45289</v>
      </c>
      <c r="B243" s="2">
        <v>3431.11</v>
      </c>
      <c r="C243" s="2">
        <v>3411.11</v>
      </c>
      <c r="D243" s="2">
        <v>3432.54</v>
      </c>
      <c r="E243" s="2">
        <v>3409.58</v>
      </c>
      <c r="F243" t="s">
        <v>532</v>
      </c>
      <c r="G243" s="3">
        <v>4.8999999999999998E-3</v>
      </c>
    </row>
    <row r="244" spans="1:7" x14ac:dyDescent="0.3">
      <c r="A244" s="1">
        <v>45293</v>
      </c>
      <c r="B244" s="2">
        <v>3386.35</v>
      </c>
      <c r="C244" s="2">
        <v>3426.27</v>
      </c>
      <c r="D244" s="2">
        <v>3426.27</v>
      </c>
      <c r="E244" s="2">
        <v>3386.35</v>
      </c>
      <c r="F244" t="s">
        <v>531</v>
      </c>
      <c r="G244" s="3">
        <v>-1.2999999999999999E-2</v>
      </c>
    </row>
    <row r="245" spans="1:7" x14ac:dyDescent="0.3">
      <c r="A245" s="1">
        <v>45294</v>
      </c>
      <c r="B245" s="2">
        <v>3378.3</v>
      </c>
      <c r="C245" s="2">
        <v>3379.75</v>
      </c>
      <c r="D245" s="2">
        <v>3392.85</v>
      </c>
      <c r="E245" s="2">
        <v>3362.66</v>
      </c>
      <c r="F245" t="s">
        <v>530</v>
      </c>
      <c r="G245" s="3">
        <v>-2.3999999999999998E-3</v>
      </c>
    </row>
    <row r="246" spans="1:7" x14ac:dyDescent="0.3">
      <c r="A246" s="1">
        <v>45295</v>
      </c>
      <c r="B246" s="2">
        <v>3347.05</v>
      </c>
      <c r="C246" s="2">
        <v>3375.02</v>
      </c>
      <c r="D246" s="2">
        <v>3375.02</v>
      </c>
      <c r="E246" s="2">
        <v>3323.86</v>
      </c>
      <c r="F246" t="s">
        <v>529</v>
      </c>
      <c r="G246" s="3">
        <v>-9.1999999999999998E-3</v>
      </c>
    </row>
    <row r="247" spans="1:7" x14ac:dyDescent="0.3">
      <c r="A247" s="1">
        <v>45296</v>
      </c>
      <c r="B247" s="2">
        <v>3329.11</v>
      </c>
      <c r="C247" s="2">
        <v>3341.31</v>
      </c>
      <c r="D247" s="2">
        <v>3372.54</v>
      </c>
      <c r="E247" s="2">
        <v>3313.55</v>
      </c>
      <c r="F247" t="s">
        <v>528</v>
      </c>
      <c r="G247" s="3">
        <v>-5.4000000000000003E-3</v>
      </c>
    </row>
    <row r="248" spans="1:7" x14ac:dyDescent="0.3">
      <c r="A248" s="1">
        <v>45299</v>
      </c>
      <c r="B248" s="2">
        <v>3286.06</v>
      </c>
      <c r="C248" s="2">
        <v>3322.6</v>
      </c>
      <c r="D248" s="2">
        <v>3333.52</v>
      </c>
      <c r="E248" s="2">
        <v>3283.34</v>
      </c>
      <c r="F248" t="s">
        <v>527</v>
      </c>
      <c r="G248" s="3">
        <v>-1.29E-2</v>
      </c>
    </row>
    <row r="249" spans="1:7" x14ac:dyDescent="0.3">
      <c r="A249" s="1">
        <v>45300</v>
      </c>
      <c r="B249" s="2">
        <v>3292.5</v>
      </c>
      <c r="C249" s="2">
        <v>3286.71</v>
      </c>
      <c r="D249" s="2">
        <v>3304.6</v>
      </c>
      <c r="E249" s="2">
        <v>3273.84</v>
      </c>
      <c r="F249" t="s">
        <v>526</v>
      </c>
      <c r="G249" s="3">
        <v>2E-3</v>
      </c>
    </row>
    <row r="250" spans="1:7" x14ac:dyDescent="0.3">
      <c r="A250" s="1">
        <v>45301</v>
      </c>
      <c r="B250" s="2">
        <v>3277.13</v>
      </c>
      <c r="C250" s="2">
        <v>3281.67</v>
      </c>
      <c r="D250" s="2">
        <v>3312.92</v>
      </c>
      <c r="E250" s="2">
        <v>3268.25</v>
      </c>
      <c r="F250" t="s">
        <v>525</v>
      </c>
      <c r="G250" s="3">
        <v>-4.7000000000000002E-3</v>
      </c>
    </row>
    <row r="251" spans="1:7" x14ac:dyDescent="0.3">
      <c r="A251" s="1">
        <v>45302</v>
      </c>
      <c r="B251" s="2">
        <v>3295.67</v>
      </c>
      <c r="C251" s="2">
        <v>3275.31</v>
      </c>
      <c r="D251" s="2">
        <v>3311.11</v>
      </c>
      <c r="E251" s="2">
        <v>3266.79</v>
      </c>
      <c r="F251" t="s">
        <v>524</v>
      </c>
      <c r="G251" s="3">
        <v>5.7000000000000002E-3</v>
      </c>
    </row>
    <row r="252" spans="1:7" x14ac:dyDescent="0.3">
      <c r="A252" s="1">
        <v>45303</v>
      </c>
      <c r="B252" s="2">
        <v>3284.17</v>
      </c>
      <c r="C252" s="2">
        <v>3284.36</v>
      </c>
      <c r="D252" s="2">
        <v>3310.47</v>
      </c>
      <c r="E252" s="2">
        <v>3279.7</v>
      </c>
      <c r="F252" t="s">
        <v>523</v>
      </c>
      <c r="G252" s="3">
        <v>-3.5000000000000001E-3</v>
      </c>
    </row>
    <row r="253" spans="1:7" x14ac:dyDescent="0.3">
      <c r="A253" s="1">
        <v>45306</v>
      </c>
      <c r="B253" s="2">
        <v>3280.92</v>
      </c>
      <c r="C253" s="2">
        <v>3270.1</v>
      </c>
      <c r="D253" s="2">
        <v>3306.92</v>
      </c>
      <c r="E253" s="2">
        <v>3261.27</v>
      </c>
      <c r="F253" t="s">
        <v>522</v>
      </c>
      <c r="G253" s="3">
        <v>-1E-3</v>
      </c>
    </row>
    <row r="254" spans="1:7" x14ac:dyDescent="0.3">
      <c r="A254" s="1">
        <v>45307</v>
      </c>
      <c r="B254" s="2">
        <v>3300.88</v>
      </c>
      <c r="C254" s="2">
        <v>3272.57</v>
      </c>
      <c r="D254" s="2">
        <v>3300.88</v>
      </c>
      <c r="E254" s="2">
        <v>3260.44</v>
      </c>
      <c r="F254" t="s">
        <v>521</v>
      </c>
      <c r="G254" s="3">
        <v>6.1000000000000004E-3</v>
      </c>
    </row>
    <row r="255" spans="1:7" x14ac:dyDescent="0.3">
      <c r="A255" s="1">
        <v>45308</v>
      </c>
      <c r="B255" s="2">
        <v>3229.08</v>
      </c>
      <c r="C255" s="2">
        <v>3291.14</v>
      </c>
      <c r="D255" s="2">
        <v>3291.14</v>
      </c>
      <c r="E255" s="2">
        <v>3229.08</v>
      </c>
      <c r="F255" t="s">
        <v>520</v>
      </c>
      <c r="G255" s="3">
        <v>-2.18E-2</v>
      </c>
    </row>
    <row r="256" spans="1:7" x14ac:dyDescent="0.3">
      <c r="A256" s="1">
        <v>45309</v>
      </c>
      <c r="B256" s="2">
        <v>3274.73</v>
      </c>
      <c r="C256" s="2">
        <v>3214.28</v>
      </c>
      <c r="D256" s="2">
        <v>3279.25</v>
      </c>
      <c r="E256" s="2">
        <v>3171.63</v>
      </c>
      <c r="F256" t="s">
        <v>519</v>
      </c>
      <c r="G256" s="3">
        <v>1.41E-2</v>
      </c>
    </row>
    <row r="257" spans="1:7" x14ac:dyDescent="0.3">
      <c r="A257" s="1">
        <v>45310</v>
      </c>
      <c r="B257" s="2">
        <v>3269.78</v>
      </c>
      <c r="C257" s="2">
        <v>3261.24</v>
      </c>
      <c r="D257" s="2">
        <v>3286.94</v>
      </c>
      <c r="E257" s="2">
        <v>3251.81</v>
      </c>
      <c r="F257" t="s">
        <v>518</v>
      </c>
      <c r="G257" s="3">
        <v>-1.5E-3</v>
      </c>
    </row>
    <row r="258" spans="1:7" x14ac:dyDescent="0.3">
      <c r="A258" s="1">
        <v>45313</v>
      </c>
      <c r="B258" s="2">
        <v>3218.9</v>
      </c>
      <c r="C258" s="2">
        <v>3262.47</v>
      </c>
      <c r="D258" s="2">
        <v>3281.42</v>
      </c>
      <c r="E258" s="2">
        <v>3193.18</v>
      </c>
      <c r="F258" t="s">
        <v>517</v>
      </c>
      <c r="G258" s="3">
        <v>-1.5599999999999999E-2</v>
      </c>
    </row>
    <row r="259" spans="1:7" x14ac:dyDescent="0.3">
      <c r="A259" s="1">
        <v>45314</v>
      </c>
      <c r="B259" s="2">
        <v>3231.93</v>
      </c>
      <c r="C259" s="2">
        <v>3208.43</v>
      </c>
      <c r="D259" s="2">
        <v>3249.53</v>
      </c>
      <c r="E259" s="2">
        <v>3188.13</v>
      </c>
      <c r="F259" t="s">
        <v>516</v>
      </c>
      <c r="G259" s="3">
        <v>4.0000000000000001E-3</v>
      </c>
    </row>
    <row r="260" spans="1:7" x14ac:dyDescent="0.3">
      <c r="A260" s="1">
        <v>45315</v>
      </c>
      <c r="B260" s="2">
        <v>3277.11</v>
      </c>
      <c r="C260" s="2">
        <v>3245.96</v>
      </c>
      <c r="D260" s="2">
        <v>3281.49</v>
      </c>
      <c r="E260" s="2">
        <v>3190.47</v>
      </c>
      <c r="F260" t="s">
        <v>515</v>
      </c>
      <c r="G260" s="3">
        <v>1.4E-2</v>
      </c>
    </row>
    <row r="261" spans="1:7" x14ac:dyDescent="0.3">
      <c r="A261" s="1">
        <v>45316</v>
      </c>
      <c r="B261" s="2">
        <v>3342.92</v>
      </c>
      <c r="C261" s="2">
        <v>3274.34</v>
      </c>
      <c r="D261" s="2">
        <v>3344.24</v>
      </c>
      <c r="E261" s="2">
        <v>3269.79</v>
      </c>
      <c r="F261" t="s">
        <v>514</v>
      </c>
      <c r="G261" s="3">
        <v>2.01E-2</v>
      </c>
    </row>
    <row r="262" spans="1:7" x14ac:dyDescent="0.3">
      <c r="A262" s="1">
        <v>45317</v>
      </c>
      <c r="B262" s="2">
        <v>3333.82</v>
      </c>
      <c r="C262" s="2">
        <v>3326.65</v>
      </c>
      <c r="D262" s="2">
        <v>3351.97</v>
      </c>
      <c r="E262" s="2">
        <v>3315.13</v>
      </c>
      <c r="F262" t="s">
        <v>513</v>
      </c>
      <c r="G262" s="3">
        <v>-2.7000000000000001E-3</v>
      </c>
    </row>
    <row r="263" spans="1:7" x14ac:dyDescent="0.3">
      <c r="A263" s="1">
        <v>45320</v>
      </c>
      <c r="B263" s="2">
        <v>3303.96</v>
      </c>
      <c r="C263" s="2">
        <v>3335.39</v>
      </c>
      <c r="D263" s="2">
        <v>3351.37</v>
      </c>
      <c r="E263" s="2">
        <v>3303.96</v>
      </c>
      <c r="F263" t="s">
        <v>512</v>
      </c>
      <c r="G263" s="3">
        <v>-8.9999999999999993E-3</v>
      </c>
    </row>
    <row r="264" spans="1:7" x14ac:dyDescent="0.3">
      <c r="A264" s="1">
        <v>45321</v>
      </c>
      <c r="B264" s="2">
        <v>3245.04</v>
      </c>
      <c r="C264" s="2">
        <v>3283.9</v>
      </c>
      <c r="D264" s="2">
        <v>3300.2</v>
      </c>
      <c r="E264" s="2">
        <v>3244.97</v>
      </c>
      <c r="F264" t="s">
        <v>511</v>
      </c>
      <c r="G264" s="3">
        <v>-1.78E-2</v>
      </c>
    </row>
    <row r="265" spans="1:7" x14ac:dyDescent="0.3">
      <c r="A265" s="1">
        <v>45322</v>
      </c>
      <c r="B265" s="2">
        <v>3215.35</v>
      </c>
      <c r="C265" s="2">
        <v>3231.54</v>
      </c>
      <c r="D265" s="2">
        <v>3252.15</v>
      </c>
      <c r="E265" s="2">
        <v>3201.93</v>
      </c>
      <c r="F265" t="s">
        <v>510</v>
      </c>
      <c r="G265" s="3">
        <v>-9.1000000000000004E-3</v>
      </c>
    </row>
    <row r="266" spans="1:7" x14ac:dyDescent="0.3">
      <c r="A266" s="1">
        <v>45323</v>
      </c>
      <c r="B266" s="2">
        <v>3217.71</v>
      </c>
      <c r="C266" s="2">
        <v>3202.26</v>
      </c>
      <c r="D266" s="2">
        <v>3251.76</v>
      </c>
      <c r="E266" s="2">
        <v>3191.9</v>
      </c>
      <c r="F266" t="s">
        <v>509</v>
      </c>
      <c r="G266" s="3">
        <v>6.9999999999999999E-4</v>
      </c>
    </row>
    <row r="267" spans="1:7" x14ac:dyDescent="0.3">
      <c r="A267" s="1">
        <v>45324</v>
      </c>
      <c r="B267" s="2">
        <v>3179.63</v>
      </c>
      <c r="C267" s="2">
        <v>3219.87</v>
      </c>
      <c r="D267" s="2">
        <v>3235.41</v>
      </c>
      <c r="E267" s="2">
        <v>3108.35</v>
      </c>
      <c r="F267" t="s">
        <v>508</v>
      </c>
      <c r="G267" s="3">
        <v>-1.18E-2</v>
      </c>
    </row>
    <row r="268" spans="1:7" x14ac:dyDescent="0.3">
      <c r="A268" s="1">
        <v>45327</v>
      </c>
      <c r="B268" s="2">
        <v>3200.42</v>
      </c>
      <c r="C268" s="2">
        <v>3164.25</v>
      </c>
      <c r="D268" s="2">
        <v>3233.85</v>
      </c>
      <c r="E268" s="2">
        <v>3111.52</v>
      </c>
      <c r="F268" t="s">
        <v>507</v>
      </c>
      <c r="G268" s="3">
        <v>6.4999999999999997E-3</v>
      </c>
    </row>
    <row r="269" spans="1:7" x14ac:dyDescent="0.3">
      <c r="A269" s="1">
        <v>45328</v>
      </c>
      <c r="B269" s="2">
        <v>3311.69</v>
      </c>
      <c r="C269" s="2">
        <v>3185.25</v>
      </c>
      <c r="D269" s="2">
        <v>3314.51</v>
      </c>
      <c r="E269" s="2">
        <v>3182.82</v>
      </c>
      <c r="F269" t="s">
        <v>506</v>
      </c>
      <c r="G269" s="3">
        <v>3.4799999999999998E-2</v>
      </c>
    </row>
    <row r="270" spans="1:7" x14ac:dyDescent="0.3">
      <c r="A270" s="1">
        <v>45329</v>
      </c>
      <c r="B270" s="2">
        <v>3343.63</v>
      </c>
      <c r="C270" s="2">
        <v>3314.03</v>
      </c>
      <c r="D270" s="2">
        <v>3343.63</v>
      </c>
      <c r="E270" s="2">
        <v>3289.67</v>
      </c>
      <c r="F270" t="s">
        <v>505</v>
      </c>
      <c r="G270" s="3">
        <v>9.5999999999999992E-3</v>
      </c>
    </row>
    <row r="271" spans="1:7" x14ac:dyDescent="0.3">
      <c r="A271" s="1">
        <v>45330</v>
      </c>
      <c r="B271" s="2">
        <v>3364.93</v>
      </c>
      <c r="C271" s="2">
        <v>3351.41</v>
      </c>
      <c r="D271" s="2">
        <v>3367.21</v>
      </c>
      <c r="E271" s="2">
        <v>3336.98</v>
      </c>
      <c r="F271" t="s">
        <v>504</v>
      </c>
      <c r="G271" s="3">
        <v>6.4000000000000003E-3</v>
      </c>
    </row>
    <row r="272" spans="1:7" x14ac:dyDescent="0.3">
      <c r="A272" s="1">
        <v>45341</v>
      </c>
      <c r="B272" s="2">
        <v>3403.81</v>
      </c>
      <c r="C272" s="2">
        <v>3393.19</v>
      </c>
      <c r="D272" s="2">
        <v>3403.81</v>
      </c>
      <c r="E272" s="2">
        <v>3364.14</v>
      </c>
      <c r="F272" t="s">
        <v>503</v>
      </c>
      <c r="G272" s="3">
        <v>1.1599999999999999E-2</v>
      </c>
    </row>
    <row r="273" spans="1:7" x14ac:dyDescent="0.3">
      <c r="A273" s="1">
        <v>45342</v>
      </c>
      <c r="B273" s="2">
        <v>3410.85</v>
      </c>
      <c r="C273" s="2">
        <v>3395.19</v>
      </c>
      <c r="D273" s="2">
        <v>3415.89</v>
      </c>
      <c r="E273" s="2">
        <v>3380.1</v>
      </c>
      <c r="F273" t="s">
        <v>502</v>
      </c>
      <c r="G273" s="3">
        <v>2.0999999999999999E-3</v>
      </c>
    </row>
    <row r="274" spans="1:7" x14ac:dyDescent="0.3">
      <c r="A274" s="1">
        <v>45343</v>
      </c>
      <c r="B274" s="2">
        <v>3456.87</v>
      </c>
      <c r="C274" s="2">
        <v>3390.36</v>
      </c>
      <c r="D274" s="2">
        <v>3500.13</v>
      </c>
      <c r="E274" s="2">
        <v>3383.69</v>
      </c>
      <c r="F274" t="s">
        <v>501</v>
      </c>
      <c r="G274" s="3">
        <v>1.35E-2</v>
      </c>
    </row>
    <row r="275" spans="1:7" x14ac:dyDescent="0.3">
      <c r="A275" s="1">
        <v>45344</v>
      </c>
      <c r="B275" s="2">
        <v>3486.67</v>
      </c>
      <c r="C275" s="2">
        <v>3450.35</v>
      </c>
      <c r="D275" s="2">
        <v>3486.68</v>
      </c>
      <c r="E275" s="2">
        <v>3448.41</v>
      </c>
      <c r="F275" t="s">
        <v>500</v>
      </c>
      <c r="G275" s="3">
        <v>8.6E-3</v>
      </c>
    </row>
    <row r="276" spans="1:7" x14ac:dyDescent="0.3">
      <c r="A276" s="1">
        <v>45345</v>
      </c>
      <c r="B276" s="2">
        <v>3489.74</v>
      </c>
      <c r="C276" s="2">
        <v>3491.34</v>
      </c>
      <c r="D276" s="2">
        <v>3507.56</v>
      </c>
      <c r="E276" s="2">
        <v>3472.97</v>
      </c>
      <c r="F276" t="s">
        <v>499</v>
      </c>
      <c r="G276" s="3">
        <v>8.9999999999999998E-4</v>
      </c>
    </row>
    <row r="277" spans="1:7" x14ac:dyDescent="0.3">
      <c r="A277" s="1">
        <v>45348</v>
      </c>
      <c r="B277" s="2">
        <v>3453.36</v>
      </c>
      <c r="C277" s="2">
        <v>3485.54</v>
      </c>
      <c r="D277" s="2">
        <v>3492.61</v>
      </c>
      <c r="E277" s="2">
        <v>3445.39</v>
      </c>
      <c r="F277" t="s">
        <v>498</v>
      </c>
      <c r="G277" s="3">
        <v>-1.04E-2</v>
      </c>
    </row>
    <row r="278" spans="1:7" x14ac:dyDescent="0.3">
      <c r="A278" s="1">
        <v>45349</v>
      </c>
      <c r="B278" s="2">
        <v>3494.79</v>
      </c>
      <c r="C278" s="2">
        <v>3440.05</v>
      </c>
      <c r="D278" s="2">
        <v>3494.79</v>
      </c>
      <c r="E278" s="2">
        <v>3437.44</v>
      </c>
      <c r="F278" t="s">
        <v>497</v>
      </c>
      <c r="G278" s="3">
        <v>1.2E-2</v>
      </c>
    </row>
    <row r="279" spans="1:7" x14ac:dyDescent="0.3">
      <c r="A279" s="1">
        <v>45350</v>
      </c>
      <c r="B279" s="2">
        <v>3450.26</v>
      </c>
      <c r="C279" s="2">
        <v>3499.83</v>
      </c>
      <c r="D279" s="2">
        <v>3521.66</v>
      </c>
      <c r="E279" s="2">
        <v>3450.26</v>
      </c>
      <c r="F279" t="s">
        <v>496</v>
      </c>
      <c r="G279" s="3">
        <v>-1.2699999999999999E-2</v>
      </c>
    </row>
    <row r="280" spans="1:7" x14ac:dyDescent="0.3">
      <c r="A280" s="1">
        <v>45351</v>
      </c>
      <c r="B280" s="2">
        <v>3516.08</v>
      </c>
      <c r="C280" s="2">
        <v>3437.9</v>
      </c>
      <c r="D280" s="2">
        <v>3516.08</v>
      </c>
      <c r="E280" s="2">
        <v>3437.9</v>
      </c>
      <c r="F280" t="s">
        <v>495</v>
      </c>
      <c r="G280" s="3">
        <v>1.9099999999999999E-2</v>
      </c>
    </row>
    <row r="281" spans="1:7" x14ac:dyDescent="0.3">
      <c r="A281" s="1">
        <v>45352</v>
      </c>
      <c r="B281" s="2">
        <v>3537.8</v>
      </c>
      <c r="C281" s="2">
        <v>3515.06</v>
      </c>
      <c r="D281" s="2">
        <v>3544.36</v>
      </c>
      <c r="E281" s="2">
        <v>3503.46</v>
      </c>
      <c r="F281" t="s">
        <v>494</v>
      </c>
      <c r="G281" s="3">
        <v>6.1999999999999998E-3</v>
      </c>
    </row>
    <row r="282" spans="1:7" x14ac:dyDescent="0.3">
      <c r="A282" s="1">
        <v>45355</v>
      </c>
      <c r="B282" s="2">
        <v>3540.87</v>
      </c>
      <c r="C282" s="2">
        <v>3538.37</v>
      </c>
      <c r="D282" s="2">
        <v>3548.69</v>
      </c>
      <c r="E282" s="2">
        <v>3519.76</v>
      </c>
      <c r="F282" t="s">
        <v>493</v>
      </c>
      <c r="G282" s="3">
        <v>8.9999999999999998E-4</v>
      </c>
    </row>
    <row r="283" spans="1:7" x14ac:dyDescent="0.3">
      <c r="A283" s="1">
        <v>45356</v>
      </c>
      <c r="B283" s="2">
        <v>3565.51</v>
      </c>
      <c r="C283" s="2">
        <v>3524.96</v>
      </c>
      <c r="D283" s="2">
        <v>3570.69</v>
      </c>
      <c r="E283" s="2">
        <v>3519.08</v>
      </c>
      <c r="F283" t="s">
        <v>492</v>
      </c>
      <c r="G283" s="3">
        <v>7.0000000000000001E-3</v>
      </c>
    </row>
    <row r="284" spans="1:7" x14ac:dyDescent="0.3">
      <c r="A284" s="1">
        <v>45357</v>
      </c>
      <c r="B284" s="2">
        <v>3551.05</v>
      </c>
      <c r="C284" s="2">
        <v>3556.53</v>
      </c>
      <c r="D284" s="2">
        <v>3577.39</v>
      </c>
      <c r="E284" s="2">
        <v>3545.1</v>
      </c>
      <c r="F284" t="s">
        <v>491</v>
      </c>
      <c r="G284" s="3">
        <v>-4.1000000000000003E-3</v>
      </c>
    </row>
    <row r="285" spans="1:7" x14ac:dyDescent="0.3">
      <c r="A285" s="1">
        <v>45358</v>
      </c>
      <c r="B285" s="2">
        <v>3529.72</v>
      </c>
      <c r="C285" s="2">
        <v>3548.1</v>
      </c>
      <c r="D285" s="2">
        <v>3569.92</v>
      </c>
      <c r="E285" s="2">
        <v>3522.9</v>
      </c>
      <c r="F285" t="s">
        <v>490</v>
      </c>
      <c r="G285" s="3">
        <v>-6.0000000000000001E-3</v>
      </c>
    </row>
    <row r="286" spans="1:7" x14ac:dyDescent="0.3">
      <c r="A286" s="1">
        <v>45359</v>
      </c>
      <c r="B286" s="2">
        <v>3544.91</v>
      </c>
      <c r="C286" s="2">
        <v>3529.55</v>
      </c>
      <c r="D286" s="2">
        <v>3548.51</v>
      </c>
      <c r="E286" s="2">
        <v>3511.58</v>
      </c>
      <c r="F286" t="s">
        <v>489</v>
      </c>
      <c r="G286" s="3">
        <v>4.3E-3</v>
      </c>
    </row>
    <row r="287" spans="1:7" x14ac:dyDescent="0.3">
      <c r="A287" s="1">
        <v>45362</v>
      </c>
      <c r="B287" s="2">
        <v>3589.26</v>
      </c>
      <c r="C287" s="2">
        <v>3545.94</v>
      </c>
      <c r="D287" s="2">
        <v>3589.26</v>
      </c>
      <c r="E287" s="2">
        <v>3542.28</v>
      </c>
      <c r="F287" t="s">
        <v>488</v>
      </c>
      <c r="G287" s="3">
        <v>1.2500000000000001E-2</v>
      </c>
    </row>
    <row r="288" spans="1:7" x14ac:dyDescent="0.3">
      <c r="A288" s="1">
        <v>45363</v>
      </c>
      <c r="B288" s="2">
        <v>3597.49</v>
      </c>
      <c r="C288" s="2">
        <v>3592.58</v>
      </c>
      <c r="D288" s="2">
        <v>3605.7</v>
      </c>
      <c r="E288" s="2">
        <v>3574.21</v>
      </c>
      <c r="F288" t="s">
        <v>487</v>
      </c>
      <c r="G288" s="3">
        <v>2.3E-3</v>
      </c>
    </row>
    <row r="289" spans="1:7" x14ac:dyDescent="0.3">
      <c r="A289" s="1">
        <v>45364</v>
      </c>
      <c r="B289" s="2">
        <v>3572.36</v>
      </c>
      <c r="C289" s="2">
        <v>3594.42</v>
      </c>
      <c r="D289" s="2">
        <v>3594.42</v>
      </c>
      <c r="E289" s="2">
        <v>3563.37</v>
      </c>
      <c r="F289" t="s">
        <v>486</v>
      </c>
      <c r="G289" s="3">
        <v>-7.0000000000000001E-3</v>
      </c>
    </row>
    <row r="290" spans="1:7" x14ac:dyDescent="0.3">
      <c r="A290" s="1">
        <v>45365</v>
      </c>
      <c r="B290" s="2">
        <v>3562.22</v>
      </c>
      <c r="C290" s="2">
        <v>3571.79</v>
      </c>
      <c r="D290" s="2">
        <v>3597.46</v>
      </c>
      <c r="E290" s="2">
        <v>3545.61</v>
      </c>
      <c r="F290" t="s">
        <v>485</v>
      </c>
      <c r="G290" s="3">
        <v>-2.8E-3</v>
      </c>
    </row>
    <row r="291" spans="1:7" x14ac:dyDescent="0.3">
      <c r="A291" s="1">
        <v>45366</v>
      </c>
      <c r="B291" s="2">
        <v>3569.99</v>
      </c>
      <c r="C291" s="2">
        <v>3554.91</v>
      </c>
      <c r="D291" s="2">
        <v>3572.81</v>
      </c>
      <c r="E291" s="2">
        <v>3533.68</v>
      </c>
      <c r="F291" t="s">
        <v>484</v>
      </c>
      <c r="G291" s="3">
        <v>2.2000000000000001E-3</v>
      </c>
    </row>
    <row r="292" spans="1:7" x14ac:dyDescent="0.3">
      <c r="A292" s="1">
        <v>45369</v>
      </c>
      <c r="B292" s="2">
        <v>3603.53</v>
      </c>
      <c r="C292" s="2">
        <v>3577.06</v>
      </c>
      <c r="D292" s="2">
        <v>3604.05</v>
      </c>
      <c r="E292" s="2">
        <v>3573.4</v>
      </c>
      <c r="F292" t="s">
        <v>483</v>
      </c>
      <c r="G292" s="3">
        <v>9.4000000000000004E-3</v>
      </c>
    </row>
    <row r="293" spans="1:7" x14ac:dyDescent="0.3">
      <c r="A293" s="1">
        <v>45370</v>
      </c>
      <c r="B293" s="2">
        <v>3577.63</v>
      </c>
      <c r="C293" s="2">
        <v>3593.34</v>
      </c>
      <c r="D293" s="2">
        <v>3610.74</v>
      </c>
      <c r="E293" s="2">
        <v>3577.19</v>
      </c>
      <c r="F293" t="s">
        <v>482</v>
      </c>
      <c r="G293" s="3">
        <v>-7.1999999999999998E-3</v>
      </c>
    </row>
    <row r="294" spans="1:7" x14ac:dyDescent="0.3">
      <c r="A294" s="1">
        <v>45371</v>
      </c>
      <c r="B294" s="2">
        <v>3585.38</v>
      </c>
      <c r="C294" s="2">
        <v>3568.72</v>
      </c>
      <c r="D294" s="2">
        <v>3589.55</v>
      </c>
      <c r="E294" s="2">
        <v>3568.43</v>
      </c>
      <c r="F294" t="s">
        <v>481</v>
      </c>
      <c r="G294" s="3">
        <v>2.2000000000000001E-3</v>
      </c>
    </row>
    <row r="295" spans="1:7" x14ac:dyDescent="0.3">
      <c r="A295" s="1">
        <v>45372</v>
      </c>
      <c r="B295" s="2">
        <v>3581.09</v>
      </c>
      <c r="C295" s="2">
        <v>3593.07</v>
      </c>
      <c r="D295" s="2">
        <v>3601.11</v>
      </c>
      <c r="E295" s="2">
        <v>3575.03</v>
      </c>
      <c r="F295" t="s">
        <v>480</v>
      </c>
      <c r="G295" s="3">
        <v>-1.1999999999999999E-3</v>
      </c>
    </row>
    <row r="296" spans="1:7" x14ac:dyDescent="0.3">
      <c r="A296" s="1">
        <v>45373</v>
      </c>
      <c r="B296" s="2">
        <v>3545</v>
      </c>
      <c r="C296" s="2">
        <v>3571.27</v>
      </c>
      <c r="D296" s="2">
        <v>3575.72</v>
      </c>
      <c r="E296" s="2">
        <v>3522.84</v>
      </c>
      <c r="F296" t="s">
        <v>479</v>
      </c>
      <c r="G296" s="3">
        <v>-1.01E-2</v>
      </c>
    </row>
    <row r="297" spans="1:7" x14ac:dyDescent="0.3">
      <c r="A297" s="1">
        <v>45376</v>
      </c>
      <c r="B297" s="2">
        <v>3525.76</v>
      </c>
      <c r="C297" s="2">
        <v>3536.71</v>
      </c>
      <c r="D297" s="2">
        <v>3564.96</v>
      </c>
      <c r="E297" s="2">
        <v>3525.76</v>
      </c>
      <c r="F297" t="s">
        <v>478</v>
      </c>
      <c r="G297" s="3">
        <v>-5.4000000000000003E-3</v>
      </c>
    </row>
    <row r="298" spans="1:7" x14ac:dyDescent="0.3">
      <c r="A298" s="1">
        <v>45377</v>
      </c>
      <c r="B298" s="2">
        <v>3543.75</v>
      </c>
      <c r="C298" s="2">
        <v>3526.68</v>
      </c>
      <c r="D298" s="2">
        <v>3547.65</v>
      </c>
      <c r="E298" s="2">
        <v>3518.6</v>
      </c>
      <c r="F298" t="s">
        <v>477</v>
      </c>
      <c r="G298" s="3">
        <v>5.1000000000000004E-3</v>
      </c>
    </row>
    <row r="299" spans="1:7" x14ac:dyDescent="0.3">
      <c r="A299" s="1">
        <v>45378</v>
      </c>
      <c r="B299" s="2">
        <v>3502.79</v>
      </c>
      <c r="C299" s="2">
        <v>3538.72</v>
      </c>
      <c r="D299" s="2">
        <v>3542.96</v>
      </c>
      <c r="E299" s="2">
        <v>3502.79</v>
      </c>
      <c r="F299" t="s">
        <v>476</v>
      </c>
      <c r="G299" s="3">
        <v>-1.1599999999999999E-2</v>
      </c>
    </row>
    <row r="300" spans="1:7" x14ac:dyDescent="0.3">
      <c r="A300" s="1">
        <v>45379</v>
      </c>
      <c r="B300" s="2">
        <v>3520.96</v>
      </c>
      <c r="C300" s="2">
        <v>3498.48</v>
      </c>
      <c r="D300" s="2">
        <v>3551.21</v>
      </c>
      <c r="E300" s="2">
        <v>3489.39</v>
      </c>
      <c r="F300" t="s">
        <v>475</v>
      </c>
      <c r="G300" s="3">
        <v>5.1999999999999998E-3</v>
      </c>
    </row>
    <row r="301" spans="1:7" x14ac:dyDescent="0.3">
      <c r="A301" s="1">
        <v>45380</v>
      </c>
      <c r="B301" s="2">
        <v>3537.48</v>
      </c>
      <c r="C301" s="2">
        <v>3516.88</v>
      </c>
      <c r="D301" s="2">
        <v>3538.24</v>
      </c>
      <c r="E301" s="2">
        <v>3516.88</v>
      </c>
      <c r="F301" t="s">
        <v>474</v>
      </c>
      <c r="G301" s="3">
        <v>4.7000000000000002E-3</v>
      </c>
    </row>
    <row r="302" spans="1:7" x14ac:dyDescent="0.3">
      <c r="A302" s="1">
        <v>45383</v>
      </c>
      <c r="B302" s="2">
        <v>3595.65</v>
      </c>
      <c r="C302" s="2">
        <v>3551.58</v>
      </c>
      <c r="D302" s="2">
        <v>3600.92</v>
      </c>
      <c r="E302" s="2">
        <v>3551.58</v>
      </c>
      <c r="F302" t="s">
        <v>473</v>
      </c>
      <c r="G302" s="3">
        <v>1.6400000000000001E-2</v>
      </c>
    </row>
    <row r="303" spans="1:7" x14ac:dyDescent="0.3">
      <c r="A303" s="1">
        <v>45384</v>
      </c>
      <c r="B303" s="2">
        <v>3580.68</v>
      </c>
      <c r="C303" s="2">
        <v>3593.22</v>
      </c>
      <c r="D303" s="2">
        <v>3596.19</v>
      </c>
      <c r="E303" s="2">
        <v>3568.75</v>
      </c>
      <c r="F303" t="s">
        <v>472</v>
      </c>
      <c r="G303" s="3">
        <v>-4.1999999999999997E-3</v>
      </c>
    </row>
    <row r="304" spans="1:7" x14ac:dyDescent="0.3">
      <c r="A304" s="1">
        <v>45385</v>
      </c>
      <c r="B304" s="2">
        <v>3567.8</v>
      </c>
      <c r="C304" s="2">
        <v>3578.68</v>
      </c>
      <c r="D304" s="2">
        <v>3582.43</v>
      </c>
      <c r="E304" s="2">
        <v>3558.87</v>
      </c>
      <c r="F304" t="s">
        <v>471</v>
      </c>
      <c r="G304" s="3">
        <v>-3.5999999999999999E-3</v>
      </c>
    </row>
    <row r="305" spans="1:7" x14ac:dyDescent="0.3">
      <c r="A305" s="1">
        <v>45390</v>
      </c>
      <c r="B305" s="2">
        <v>3536.41</v>
      </c>
      <c r="C305" s="2">
        <v>3553.56</v>
      </c>
      <c r="D305" s="2">
        <v>3567.82</v>
      </c>
      <c r="E305" s="2">
        <v>3535.77</v>
      </c>
      <c r="F305" t="s">
        <v>470</v>
      </c>
      <c r="G305" s="3">
        <v>-8.8000000000000005E-3</v>
      </c>
    </row>
    <row r="306" spans="1:7" x14ac:dyDescent="0.3">
      <c r="A306" s="1">
        <v>45391</v>
      </c>
      <c r="B306" s="2">
        <v>3533.49</v>
      </c>
      <c r="C306" s="2">
        <v>3533.39</v>
      </c>
      <c r="D306" s="2">
        <v>3543.71</v>
      </c>
      <c r="E306" s="2">
        <v>3518.86</v>
      </c>
      <c r="F306" t="s">
        <v>469</v>
      </c>
      <c r="G306" s="3">
        <v>-8.0000000000000004E-4</v>
      </c>
    </row>
    <row r="307" spans="1:7" x14ac:dyDescent="0.3">
      <c r="A307" s="1">
        <v>45392</v>
      </c>
      <c r="B307" s="2">
        <v>3504.71</v>
      </c>
      <c r="C307" s="2">
        <v>3528.97</v>
      </c>
      <c r="D307" s="2">
        <v>3531.23</v>
      </c>
      <c r="E307" s="2">
        <v>3490.05</v>
      </c>
      <c r="F307" t="s">
        <v>468</v>
      </c>
      <c r="G307" s="3">
        <v>-8.0999999999999996E-3</v>
      </c>
    </row>
    <row r="308" spans="1:7" x14ac:dyDescent="0.3">
      <c r="A308" s="1">
        <v>45393</v>
      </c>
      <c r="B308" s="2">
        <v>3504.24</v>
      </c>
      <c r="C308" s="2">
        <v>3485.03</v>
      </c>
      <c r="D308" s="2">
        <v>3520.59</v>
      </c>
      <c r="E308" s="2">
        <v>3484.93</v>
      </c>
      <c r="F308" t="s">
        <v>467</v>
      </c>
      <c r="G308" s="3">
        <v>-1E-4</v>
      </c>
    </row>
    <row r="309" spans="1:7" x14ac:dyDescent="0.3">
      <c r="A309" s="1">
        <v>45394</v>
      </c>
      <c r="B309" s="2">
        <v>3475.84</v>
      </c>
      <c r="C309" s="2">
        <v>3505.75</v>
      </c>
      <c r="D309" s="2">
        <v>3516.7</v>
      </c>
      <c r="E309" s="2">
        <v>3470.06</v>
      </c>
      <c r="F309" t="s">
        <v>466</v>
      </c>
      <c r="G309" s="3">
        <v>-8.0999999999999996E-3</v>
      </c>
    </row>
    <row r="310" spans="1:7" x14ac:dyDescent="0.3">
      <c r="A310" s="1">
        <v>45397</v>
      </c>
      <c r="B310" s="2">
        <v>3549.08</v>
      </c>
      <c r="C310" s="2">
        <v>3473.5</v>
      </c>
      <c r="D310" s="2">
        <v>3552.41</v>
      </c>
      <c r="E310" s="2">
        <v>3473.5</v>
      </c>
      <c r="F310" t="s">
        <v>465</v>
      </c>
      <c r="G310" s="3">
        <v>2.1100000000000001E-2</v>
      </c>
    </row>
    <row r="311" spans="1:7" x14ac:dyDescent="0.3">
      <c r="A311" s="1">
        <v>45398</v>
      </c>
      <c r="B311" s="2">
        <v>3511.11</v>
      </c>
      <c r="C311" s="2">
        <v>3533.36</v>
      </c>
      <c r="D311" s="2">
        <v>3545.5</v>
      </c>
      <c r="E311" s="2">
        <v>3503.62</v>
      </c>
      <c r="F311" t="s">
        <v>464</v>
      </c>
      <c r="G311" s="3">
        <v>-1.0699999999999999E-2</v>
      </c>
    </row>
    <row r="312" spans="1:7" x14ac:dyDescent="0.3">
      <c r="A312" s="1">
        <v>45399</v>
      </c>
      <c r="B312" s="2">
        <v>3565.4</v>
      </c>
      <c r="C312" s="2">
        <v>3509.13</v>
      </c>
      <c r="D312" s="2">
        <v>3565.94</v>
      </c>
      <c r="E312" s="2">
        <v>3498.03</v>
      </c>
      <c r="F312" t="s">
        <v>463</v>
      </c>
      <c r="G312" s="3">
        <v>1.55E-2</v>
      </c>
    </row>
    <row r="313" spans="1:7" x14ac:dyDescent="0.3">
      <c r="A313" s="1">
        <v>45400</v>
      </c>
      <c r="B313" s="2">
        <v>3569.8</v>
      </c>
      <c r="C313" s="2">
        <v>3550.56</v>
      </c>
      <c r="D313" s="2">
        <v>3602.79</v>
      </c>
      <c r="E313" s="2">
        <v>3547.6</v>
      </c>
      <c r="F313" t="s">
        <v>462</v>
      </c>
      <c r="G313" s="3">
        <v>1.1999999999999999E-3</v>
      </c>
    </row>
    <row r="314" spans="1:7" x14ac:dyDescent="0.3">
      <c r="A314" s="1">
        <v>45401</v>
      </c>
      <c r="B314" s="2">
        <v>3541.66</v>
      </c>
      <c r="C314" s="2">
        <v>3550.61</v>
      </c>
      <c r="D314" s="2">
        <v>3560.95</v>
      </c>
      <c r="E314" s="2">
        <v>3529.32</v>
      </c>
      <c r="F314" t="s">
        <v>461</v>
      </c>
      <c r="G314" s="3">
        <v>-7.9000000000000008E-3</v>
      </c>
    </row>
    <row r="315" spans="1:7" x14ac:dyDescent="0.3">
      <c r="A315" s="1">
        <v>45404</v>
      </c>
      <c r="B315" s="2">
        <v>3530.9</v>
      </c>
      <c r="C315" s="2">
        <v>3536.18</v>
      </c>
      <c r="D315" s="2">
        <v>3558.16</v>
      </c>
      <c r="E315" s="2">
        <v>3528.02</v>
      </c>
      <c r="F315" t="s">
        <v>460</v>
      </c>
      <c r="G315" s="3">
        <v>-3.0000000000000001E-3</v>
      </c>
    </row>
    <row r="316" spans="1:7" x14ac:dyDescent="0.3">
      <c r="A316" s="1">
        <v>45405</v>
      </c>
      <c r="B316" s="2">
        <v>3506.22</v>
      </c>
      <c r="C316" s="2">
        <v>3525.67</v>
      </c>
      <c r="D316" s="2">
        <v>3533.76</v>
      </c>
      <c r="E316" s="2">
        <v>3499.98</v>
      </c>
      <c r="F316" t="s">
        <v>459</v>
      </c>
      <c r="G316" s="3">
        <v>-7.0000000000000001E-3</v>
      </c>
    </row>
    <row r="317" spans="1:7" x14ac:dyDescent="0.3">
      <c r="A317" s="1">
        <v>45406</v>
      </c>
      <c r="B317" s="2">
        <v>3521.62</v>
      </c>
      <c r="C317" s="2">
        <v>3514.01</v>
      </c>
      <c r="D317" s="2">
        <v>3524.54</v>
      </c>
      <c r="E317" s="2">
        <v>3495.65</v>
      </c>
      <c r="F317" t="s">
        <v>458</v>
      </c>
      <c r="G317" s="3">
        <v>4.4000000000000003E-3</v>
      </c>
    </row>
    <row r="318" spans="1:7" x14ac:dyDescent="0.3">
      <c r="A318" s="1">
        <v>45407</v>
      </c>
      <c r="B318" s="2">
        <v>3530.28</v>
      </c>
      <c r="C318" s="2">
        <v>3510.64</v>
      </c>
      <c r="D318" s="2">
        <v>3543.97</v>
      </c>
      <c r="E318" s="2">
        <v>3505.2</v>
      </c>
      <c r="F318" t="s">
        <v>457</v>
      </c>
      <c r="G318" s="3">
        <v>2.5000000000000001E-3</v>
      </c>
    </row>
    <row r="319" spans="1:7" x14ac:dyDescent="0.3">
      <c r="A319" s="1">
        <v>45408</v>
      </c>
      <c r="B319" s="2">
        <v>3584.27</v>
      </c>
      <c r="C319" s="2">
        <v>3531.96</v>
      </c>
      <c r="D319" s="2">
        <v>3588.4</v>
      </c>
      <c r="E319" s="2">
        <v>3531.96</v>
      </c>
      <c r="F319" t="s">
        <v>456</v>
      </c>
      <c r="G319" s="3">
        <v>1.5299999999999999E-2</v>
      </c>
    </row>
    <row r="320" spans="1:7" x14ac:dyDescent="0.3">
      <c r="A320" s="1">
        <v>45411</v>
      </c>
      <c r="B320" s="2">
        <v>3623.91</v>
      </c>
      <c r="C320" s="2">
        <v>3584.54</v>
      </c>
      <c r="D320" s="2">
        <v>3645.82</v>
      </c>
      <c r="E320" s="2">
        <v>3578.76</v>
      </c>
      <c r="F320" t="s">
        <v>455</v>
      </c>
      <c r="G320" s="3">
        <v>1.11E-2</v>
      </c>
    </row>
    <row r="321" spans="1:7" x14ac:dyDescent="0.3">
      <c r="A321" s="1">
        <v>45412</v>
      </c>
      <c r="B321" s="2">
        <v>3604.39</v>
      </c>
      <c r="C321" s="2">
        <v>3619.26</v>
      </c>
      <c r="D321" s="2">
        <v>3630.71</v>
      </c>
      <c r="E321" s="2">
        <v>3604.39</v>
      </c>
      <c r="F321" t="s">
        <v>454</v>
      </c>
      <c r="G321" s="3">
        <v>-5.4000000000000003E-3</v>
      </c>
    </row>
    <row r="322" spans="1:7" x14ac:dyDescent="0.3">
      <c r="A322" s="1">
        <v>45418</v>
      </c>
      <c r="B322" s="2">
        <v>3657.88</v>
      </c>
      <c r="C322" s="2">
        <v>3654.05</v>
      </c>
      <c r="D322" s="2">
        <v>3668.26</v>
      </c>
      <c r="E322" s="2">
        <v>3645.74</v>
      </c>
      <c r="F322" t="s">
        <v>453</v>
      </c>
      <c r="G322" s="3">
        <v>1.4800000000000001E-2</v>
      </c>
    </row>
    <row r="323" spans="1:7" x14ac:dyDescent="0.3">
      <c r="A323" s="1">
        <v>45419</v>
      </c>
      <c r="B323" s="2">
        <v>3659.01</v>
      </c>
      <c r="C323" s="2">
        <v>3657</v>
      </c>
      <c r="D323" s="2">
        <v>3665.68</v>
      </c>
      <c r="E323" s="2">
        <v>3648.38</v>
      </c>
      <c r="F323" t="s">
        <v>452</v>
      </c>
      <c r="G323" s="3">
        <v>2.9999999999999997E-4</v>
      </c>
    </row>
    <row r="324" spans="1:7" x14ac:dyDescent="0.3">
      <c r="A324" s="1">
        <v>45420</v>
      </c>
      <c r="B324" s="2">
        <v>3630.22</v>
      </c>
      <c r="C324" s="2">
        <v>3650.75</v>
      </c>
      <c r="D324" s="2">
        <v>3650.94</v>
      </c>
      <c r="E324" s="2">
        <v>3628.7</v>
      </c>
      <c r="F324" t="s">
        <v>451</v>
      </c>
      <c r="G324" s="3">
        <v>-7.9000000000000008E-3</v>
      </c>
    </row>
    <row r="325" spans="1:7" x14ac:dyDescent="0.3">
      <c r="A325" s="1">
        <v>45421</v>
      </c>
      <c r="B325" s="2">
        <v>3664.56</v>
      </c>
      <c r="C325" s="2">
        <v>3630.41</v>
      </c>
      <c r="D325" s="2">
        <v>3669.76</v>
      </c>
      <c r="E325" s="2">
        <v>3630.41</v>
      </c>
      <c r="F325" t="s">
        <v>450</v>
      </c>
      <c r="G325" s="3">
        <v>9.4999999999999998E-3</v>
      </c>
    </row>
    <row r="326" spans="1:7" x14ac:dyDescent="0.3">
      <c r="A326" s="1">
        <v>45422</v>
      </c>
      <c r="B326" s="2">
        <v>3666.28</v>
      </c>
      <c r="C326" s="2">
        <v>3669.09</v>
      </c>
      <c r="D326" s="2">
        <v>3674.61</v>
      </c>
      <c r="E326" s="2">
        <v>3641.76</v>
      </c>
      <c r="F326" t="s">
        <v>449</v>
      </c>
      <c r="G326" s="3">
        <v>5.0000000000000001E-4</v>
      </c>
    </row>
    <row r="327" spans="1:7" x14ac:dyDescent="0.3">
      <c r="A327" s="1">
        <v>45425</v>
      </c>
      <c r="B327" s="2">
        <v>3664.69</v>
      </c>
      <c r="C327" s="2">
        <v>3646.35</v>
      </c>
      <c r="D327" s="2">
        <v>3673.62</v>
      </c>
      <c r="E327" s="2">
        <v>3634.6</v>
      </c>
      <c r="F327" t="s">
        <v>448</v>
      </c>
      <c r="G327" s="3">
        <v>-4.0000000000000002E-4</v>
      </c>
    </row>
    <row r="328" spans="1:7" x14ac:dyDescent="0.3">
      <c r="A328" s="1">
        <v>45426</v>
      </c>
      <c r="B328" s="2">
        <v>3657.05</v>
      </c>
      <c r="C328" s="2">
        <v>3668.23</v>
      </c>
      <c r="D328" s="2">
        <v>3675.78</v>
      </c>
      <c r="E328" s="2">
        <v>3646.71</v>
      </c>
      <c r="F328" t="s">
        <v>447</v>
      </c>
      <c r="G328" s="3">
        <v>-2.0999999999999999E-3</v>
      </c>
    </row>
    <row r="329" spans="1:7" x14ac:dyDescent="0.3">
      <c r="A329" s="1">
        <v>45427</v>
      </c>
      <c r="B329" s="2">
        <v>3626.06</v>
      </c>
      <c r="C329" s="2">
        <v>3651.05</v>
      </c>
      <c r="D329" s="2">
        <v>3656.53</v>
      </c>
      <c r="E329" s="2">
        <v>3624</v>
      </c>
      <c r="F329" t="s">
        <v>446</v>
      </c>
      <c r="G329" s="3">
        <v>-8.5000000000000006E-3</v>
      </c>
    </row>
    <row r="330" spans="1:7" x14ac:dyDescent="0.3">
      <c r="A330" s="1">
        <v>45428</v>
      </c>
      <c r="B330" s="2">
        <v>3640.36</v>
      </c>
      <c r="C330" s="2">
        <v>3636.6</v>
      </c>
      <c r="D330" s="2">
        <v>3657.48</v>
      </c>
      <c r="E330" s="2">
        <v>3626.33</v>
      </c>
      <c r="F330" t="s">
        <v>445</v>
      </c>
      <c r="G330" s="3">
        <v>3.8999999999999998E-3</v>
      </c>
    </row>
    <row r="331" spans="1:7" x14ac:dyDescent="0.3">
      <c r="A331" s="1">
        <v>45429</v>
      </c>
      <c r="B331" s="2">
        <v>3677.97</v>
      </c>
      <c r="C331" s="2">
        <v>3638.56</v>
      </c>
      <c r="D331" s="2">
        <v>3677.97</v>
      </c>
      <c r="E331" s="2">
        <v>3627.45</v>
      </c>
      <c r="F331" t="s">
        <v>444</v>
      </c>
      <c r="G331" s="3">
        <v>1.03E-2</v>
      </c>
    </row>
    <row r="332" spans="1:7" x14ac:dyDescent="0.3">
      <c r="A332" s="1">
        <v>45432</v>
      </c>
      <c r="B332" s="2">
        <v>3690.96</v>
      </c>
      <c r="C332" s="2">
        <v>3682.06</v>
      </c>
      <c r="D332" s="2">
        <v>3703.03</v>
      </c>
      <c r="E332" s="2">
        <v>3677.44</v>
      </c>
      <c r="F332" t="s">
        <v>443</v>
      </c>
      <c r="G332" s="3">
        <v>3.5000000000000001E-3</v>
      </c>
    </row>
    <row r="333" spans="1:7" x14ac:dyDescent="0.3">
      <c r="A333" s="1">
        <v>45433</v>
      </c>
      <c r="B333" s="2">
        <v>3676.16</v>
      </c>
      <c r="C333" s="2">
        <v>3682.29</v>
      </c>
      <c r="D333" s="2">
        <v>3684.61</v>
      </c>
      <c r="E333" s="2">
        <v>3665.15</v>
      </c>
      <c r="F333" t="s">
        <v>442</v>
      </c>
      <c r="G333" s="3">
        <v>-4.0000000000000001E-3</v>
      </c>
    </row>
    <row r="334" spans="1:7" x14ac:dyDescent="0.3">
      <c r="A334" s="1">
        <v>45434</v>
      </c>
      <c r="B334" s="2">
        <v>3684.45</v>
      </c>
      <c r="C334" s="2">
        <v>3675.65</v>
      </c>
      <c r="D334" s="2">
        <v>3691.88</v>
      </c>
      <c r="E334" s="2">
        <v>3667.09</v>
      </c>
      <c r="F334" t="s">
        <v>441</v>
      </c>
      <c r="G334" s="3">
        <v>2.3E-3</v>
      </c>
    </row>
    <row r="335" spans="1:7" x14ac:dyDescent="0.3">
      <c r="A335" s="1">
        <v>45435</v>
      </c>
      <c r="B335" s="2">
        <v>3641.79</v>
      </c>
      <c r="C335" s="2">
        <v>3672.84</v>
      </c>
      <c r="D335" s="2">
        <v>3674.37</v>
      </c>
      <c r="E335" s="2">
        <v>3633.51</v>
      </c>
      <c r="F335" t="s">
        <v>440</v>
      </c>
      <c r="G335" s="3">
        <v>-1.1599999999999999E-2</v>
      </c>
    </row>
    <row r="336" spans="1:7" x14ac:dyDescent="0.3">
      <c r="A336" s="1">
        <v>45436</v>
      </c>
      <c r="B336" s="2">
        <v>3601.48</v>
      </c>
      <c r="C336" s="2">
        <v>3630.83</v>
      </c>
      <c r="D336" s="2">
        <v>3650.87</v>
      </c>
      <c r="E336" s="2">
        <v>3599.67</v>
      </c>
      <c r="F336" t="s">
        <v>439</v>
      </c>
      <c r="G336" s="3">
        <v>-1.11E-2</v>
      </c>
    </row>
    <row r="337" spans="1:7" x14ac:dyDescent="0.3">
      <c r="A337" s="1">
        <v>45439</v>
      </c>
      <c r="B337" s="2">
        <v>3635.71</v>
      </c>
      <c r="C337" s="2">
        <v>3606.65</v>
      </c>
      <c r="D337" s="2">
        <v>3638.15</v>
      </c>
      <c r="E337" s="2">
        <v>3603.71</v>
      </c>
      <c r="F337" t="s">
        <v>438</v>
      </c>
      <c r="G337" s="3">
        <v>9.4999999999999998E-3</v>
      </c>
    </row>
    <row r="338" spans="1:7" x14ac:dyDescent="0.3">
      <c r="A338" s="1">
        <v>45440</v>
      </c>
      <c r="B338" s="2">
        <v>3609.17</v>
      </c>
      <c r="C338" s="2">
        <v>3633.25</v>
      </c>
      <c r="D338" s="2">
        <v>3638.97</v>
      </c>
      <c r="E338" s="2">
        <v>3605.92</v>
      </c>
      <c r="F338" t="s">
        <v>437</v>
      </c>
      <c r="G338" s="3">
        <v>-7.3000000000000001E-3</v>
      </c>
    </row>
    <row r="339" spans="1:7" x14ac:dyDescent="0.3">
      <c r="A339" s="1">
        <v>45441</v>
      </c>
      <c r="B339" s="2">
        <v>3613.52</v>
      </c>
      <c r="C339" s="2">
        <v>3609.07</v>
      </c>
      <c r="D339" s="2">
        <v>3633.2</v>
      </c>
      <c r="E339" s="2">
        <v>3602.82</v>
      </c>
      <c r="F339" t="s">
        <v>436</v>
      </c>
      <c r="G339" s="3">
        <v>1.1999999999999999E-3</v>
      </c>
    </row>
    <row r="340" spans="1:7" x14ac:dyDescent="0.3">
      <c r="A340" s="1">
        <v>45442</v>
      </c>
      <c r="B340" s="2">
        <v>3594.31</v>
      </c>
      <c r="C340" s="2">
        <v>3607.05</v>
      </c>
      <c r="D340" s="2">
        <v>3624.04</v>
      </c>
      <c r="E340" s="2">
        <v>3586.75</v>
      </c>
      <c r="F340" t="s">
        <v>435</v>
      </c>
      <c r="G340" s="3">
        <v>-5.3E-3</v>
      </c>
    </row>
    <row r="341" spans="1:7" x14ac:dyDescent="0.3">
      <c r="A341" s="1">
        <v>45443</v>
      </c>
      <c r="B341" s="2">
        <v>3579.92</v>
      </c>
      <c r="C341" s="2">
        <v>3599.82</v>
      </c>
      <c r="D341" s="2">
        <v>3614.64</v>
      </c>
      <c r="E341" s="2">
        <v>3579.92</v>
      </c>
      <c r="F341" t="s">
        <v>434</v>
      </c>
      <c r="G341" s="3">
        <v>-4.0000000000000001E-3</v>
      </c>
    </row>
    <row r="342" spans="1:7" x14ac:dyDescent="0.3">
      <c r="A342" s="1">
        <v>45446</v>
      </c>
      <c r="B342" s="2">
        <v>3588.75</v>
      </c>
      <c r="C342" s="2">
        <v>3577.38</v>
      </c>
      <c r="D342" s="2">
        <v>3600.6</v>
      </c>
      <c r="E342" s="2">
        <v>3567.87</v>
      </c>
      <c r="F342" t="s">
        <v>433</v>
      </c>
      <c r="G342" s="3">
        <v>2.5000000000000001E-3</v>
      </c>
    </row>
    <row r="343" spans="1:7" x14ac:dyDescent="0.3">
      <c r="A343" s="1">
        <v>45447</v>
      </c>
      <c r="B343" s="2">
        <v>3615.67</v>
      </c>
      <c r="C343" s="2">
        <v>3583.81</v>
      </c>
      <c r="D343" s="2">
        <v>3622.5</v>
      </c>
      <c r="E343" s="2">
        <v>3580.28</v>
      </c>
      <c r="F343" t="s">
        <v>432</v>
      </c>
      <c r="G343" s="3">
        <v>7.4999999999999997E-3</v>
      </c>
    </row>
    <row r="344" spans="1:7" x14ac:dyDescent="0.3">
      <c r="A344" s="1">
        <v>45448</v>
      </c>
      <c r="B344" s="2">
        <v>3594.79</v>
      </c>
      <c r="C344" s="2">
        <v>3610.36</v>
      </c>
      <c r="D344" s="2">
        <v>3623.32</v>
      </c>
      <c r="E344" s="2">
        <v>3594.11</v>
      </c>
      <c r="F344" t="s">
        <v>431</v>
      </c>
      <c r="G344" s="3">
        <v>-5.7999999999999996E-3</v>
      </c>
    </row>
    <row r="345" spans="1:7" x14ac:dyDescent="0.3">
      <c r="A345" s="1">
        <v>45449</v>
      </c>
      <c r="B345" s="2">
        <v>3592.25</v>
      </c>
      <c r="C345" s="2">
        <v>3602.16</v>
      </c>
      <c r="D345" s="2">
        <v>3625.01</v>
      </c>
      <c r="E345" s="2">
        <v>3584.17</v>
      </c>
      <c r="F345" t="s">
        <v>430</v>
      </c>
      <c r="G345" s="3">
        <v>-6.9999999999999999E-4</v>
      </c>
    </row>
    <row r="346" spans="1:7" x14ac:dyDescent="0.3">
      <c r="A346" s="1">
        <v>45450</v>
      </c>
      <c r="B346" s="2">
        <v>3574.11</v>
      </c>
      <c r="C346" s="2">
        <v>3594.63</v>
      </c>
      <c r="D346" s="2">
        <v>3603.07</v>
      </c>
      <c r="E346" s="2">
        <v>3552.09</v>
      </c>
      <c r="F346" t="s">
        <v>429</v>
      </c>
      <c r="G346" s="3">
        <v>-5.0000000000000001E-3</v>
      </c>
    </row>
    <row r="347" spans="1:7" x14ac:dyDescent="0.3">
      <c r="A347" s="1">
        <v>45454</v>
      </c>
      <c r="B347" s="2">
        <v>3542.88</v>
      </c>
      <c r="C347" s="2">
        <v>3555.82</v>
      </c>
      <c r="D347" s="2">
        <v>3565.31</v>
      </c>
      <c r="E347" s="2">
        <v>3525.89</v>
      </c>
      <c r="F347" t="s">
        <v>428</v>
      </c>
      <c r="G347" s="3">
        <v>-8.6999999999999994E-3</v>
      </c>
    </row>
    <row r="348" spans="1:7" x14ac:dyDescent="0.3">
      <c r="A348" s="1">
        <v>45455</v>
      </c>
      <c r="B348" s="2">
        <v>3544.12</v>
      </c>
      <c r="C348" s="2">
        <v>3539.09</v>
      </c>
      <c r="D348" s="2">
        <v>3551.17</v>
      </c>
      <c r="E348" s="2">
        <v>3531.57</v>
      </c>
      <c r="F348" t="s">
        <v>427</v>
      </c>
      <c r="G348" s="3">
        <v>4.0000000000000002E-4</v>
      </c>
    </row>
    <row r="349" spans="1:7" x14ac:dyDescent="0.3">
      <c r="A349" s="1">
        <v>45456</v>
      </c>
      <c r="B349" s="2">
        <v>3526.13</v>
      </c>
      <c r="C349" s="2">
        <v>3548.22</v>
      </c>
      <c r="D349" s="2">
        <v>3551.08</v>
      </c>
      <c r="E349" s="2">
        <v>3520.18</v>
      </c>
      <c r="F349" t="s">
        <v>426</v>
      </c>
      <c r="G349" s="3">
        <v>-5.1000000000000004E-3</v>
      </c>
    </row>
    <row r="350" spans="1:7" x14ac:dyDescent="0.3">
      <c r="A350" s="1">
        <v>45457</v>
      </c>
      <c r="B350" s="2">
        <v>3541.53</v>
      </c>
      <c r="C350" s="2">
        <v>3514.8</v>
      </c>
      <c r="D350" s="2">
        <v>3547.15</v>
      </c>
      <c r="E350" s="2">
        <v>3503.52</v>
      </c>
      <c r="F350" t="s">
        <v>425</v>
      </c>
      <c r="G350" s="3">
        <v>4.4000000000000003E-3</v>
      </c>
    </row>
    <row r="351" spans="1:7" x14ac:dyDescent="0.3">
      <c r="A351" s="1">
        <v>45460</v>
      </c>
      <c r="B351" s="2">
        <v>3536.2</v>
      </c>
      <c r="C351" s="2">
        <v>3521.44</v>
      </c>
      <c r="D351" s="2">
        <v>3540.79</v>
      </c>
      <c r="E351" s="2">
        <v>3520.74</v>
      </c>
      <c r="F351" t="s">
        <v>424</v>
      </c>
      <c r="G351" s="3">
        <v>-1.5E-3</v>
      </c>
    </row>
    <row r="352" spans="1:7" x14ac:dyDescent="0.3">
      <c r="A352" s="1">
        <v>45461</v>
      </c>
      <c r="B352" s="2">
        <v>3545.59</v>
      </c>
      <c r="C352" s="2">
        <v>3533.49</v>
      </c>
      <c r="D352" s="2">
        <v>3551.71</v>
      </c>
      <c r="E352" s="2">
        <v>3532.78</v>
      </c>
      <c r="F352" t="s">
        <v>423</v>
      </c>
      <c r="G352" s="3">
        <v>2.7000000000000001E-3</v>
      </c>
    </row>
    <row r="353" spans="1:7" x14ac:dyDescent="0.3">
      <c r="A353" s="1">
        <v>45462</v>
      </c>
      <c r="B353" s="2">
        <v>3528.75</v>
      </c>
      <c r="C353" s="2">
        <v>3543.36</v>
      </c>
      <c r="D353" s="2">
        <v>3543.36</v>
      </c>
      <c r="E353" s="2">
        <v>3524.84</v>
      </c>
      <c r="F353" t="s">
        <v>422</v>
      </c>
      <c r="G353" s="3">
        <v>-4.7000000000000002E-3</v>
      </c>
    </row>
    <row r="354" spans="1:7" x14ac:dyDescent="0.3">
      <c r="A354" s="1">
        <v>45463</v>
      </c>
      <c r="B354" s="2">
        <v>3503.28</v>
      </c>
      <c r="C354" s="2">
        <v>3525.17</v>
      </c>
      <c r="D354" s="2">
        <v>3533.99</v>
      </c>
      <c r="E354" s="2">
        <v>3500.13</v>
      </c>
      <c r="F354" t="s">
        <v>421</v>
      </c>
      <c r="G354" s="3">
        <v>-7.1999999999999998E-3</v>
      </c>
    </row>
    <row r="355" spans="1:7" x14ac:dyDescent="0.3">
      <c r="A355" s="1">
        <v>45464</v>
      </c>
      <c r="B355" s="2">
        <v>3495.62</v>
      </c>
      <c r="C355" s="2">
        <v>3496.34</v>
      </c>
      <c r="D355" s="2">
        <v>3505.51</v>
      </c>
      <c r="E355" s="2">
        <v>3473.83</v>
      </c>
      <c r="F355" t="s">
        <v>420</v>
      </c>
      <c r="G355" s="3">
        <v>-2.2000000000000001E-3</v>
      </c>
    </row>
    <row r="356" spans="1:7" x14ac:dyDescent="0.3">
      <c r="A356" s="1">
        <v>45467</v>
      </c>
      <c r="B356" s="2">
        <v>3476.81</v>
      </c>
      <c r="C356" s="2">
        <v>3473.64</v>
      </c>
      <c r="D356" s="2">
        <v>3505.78</v>
      </c>
      <c r="E356" s="2">
        <v>3471.22</v>
      </c>
      <c r="F356" t="s">
        <v>419</v>
      </c>
      <c r="G356" s="3">
        <v>-5.4000000000000003E-3</v>
      </c>
    </row>
    <row r="357" spans="1:7" x14ac:dyDescent="0.3">
      <c r="A357" s="1">
        <v>45468</v>
      </c>
      <c r="B357" s="2">
        <v>3457.9</v>
      </c>
      <c r="C357" s="2">
        <v>3475.16</v>
      </c>
      <c r="D357" s="2">
        <v>3483.22</v>
      </c>
      <c r="E357" s="2">
        <v>3440.65</v>
      </c>
      <c r="F357" t="s">
        <v>418</v>
      </c>
      <c r="G357" s="3">
        <v>-5.4000000000000003E-3</v>
      </c>
    </row>
    <row r="358" spans="1:7" x14ac:dyDescent="0.3">
      <c r="A358" s="1">
        <v>45469</v>
      </c>
      <c r="B358" s="2">
        <v>3480.26</v>
      </c>
      <c r="C358" s="2">
        <v>3451.54</v>
      </c>
      <c r="D358" s="2">
        <v>3487.4</v>
      </c>
      <c r="E358" s="2">
        <v>3442.3</v>
      </c>
      <c r="F358" t="s">
        <v>417</v>
      </c>
      <c r="G358" s="3">
        <v>6.4999999999999997E-3</v>
      </c>
    </row>
    <row r="359" spans="1:7" x14ac:dyDescent="0.3">
      <c r="A359" s="1">
        <v>45470</v>
      </c>
      <c r="B359" s="2">
        <v>3454.12</v>
      </c>
      <c r="C359" s="2">
        <v>3467.29</v>
      </c>
      <c r="D359" s="2">
        <v>3471.14</v>
      </c>
      <c r="E359" s="2">
        <v>3452.58</v>
      </c>
      <c r="F359" t="s">
        <v>416</v>
      </c>
      <c r="G359" s="3">
        <v>-7.4999999999999997E-3</v>
      </c>
    </row>
    <row r="360" spans="1:7" x14ac:dyDescent="0.3">
      <c r="A360" s="1">
        <v>45471</v>
      </c>
      <c r="B360" s="2">
        <v>3461.66</v>
      </c>
      <c r="C360" s="2">
        <v>3443.67</v>
      </c>
      <c r="D360" s="2">
        <v>3484.68</v>
      </c>
      <c r="E360" s="2">
        <v>3443.67</v>
      </c>
      <c r="F360" t="s">
        <v>415</v>
      </c>
      <c r="G360" s="3">
        <v>2.2000000000000001E-3</v>
      </c>
    </row>
    <row r="361" spans="1:7" x14ac:dyDescent="0.3">
      <c r="A361" s="1">
        <v>45474</v>
      </c>
      <c r="B361" s="2">
        <v>3478.18</v>
      </c>
      <c r="C361" s="2">
        <v>3458.26</v>
      </c>
      <c r="D361" s="2">
        <v>3479.95</v>
      </c>
      <c r="E361" s="2">
        <v>3443.81</v>
      </c>
      <c r="F361" t="s">
        <v>414</v>
      </c>
      <c r="G361" s="3">
        <v>4.7999999999999996E-3</v>
      </c>
    </row>
    <row r="362" spans="1:7" x14ac:dyDescent="0.3">
      <c r="A362" s="1">
        <v>45475</v>
      </c>
      <c r="B362" s="2">
        <v>3471.79</v>
      </c>
      <c r="C362" s="2">
        <v>3472.45</v>
      </c>
      <c r="D362" s="2">
        <v>3488.32</v>
      </c>
      <c r="E362" s="2">
        <v>3464.52</v>
      </c>
      <c r="F362" t="s">
        <v>413</v>
      </c>
      <c r="G362" s="3">
        <v>-1.8E-3</v>
      </c>
    </row>
    <row r="363" spans="1:7" x14ac:dyDescent="0.3">
      <c r="A363" s="1">
        <v>45476</v>
      </c>
      <c r="B363" s="2">
        <v>3463.41</v>
      </c>
      <c r="C363" s="2">
        <v>3471.56</v>
      </c>
      <c r="D363" s="2">
        <v>3478.7</v>
      </c>
      <c r="E363" s="2">
        <v>3454.99</v>
      </c>
      <c r="F363" t="s">
        <v>412</v>
      </c>
      <c r="G363" s="3">
        <v>-2.3999999999999998E-3</v>
      </c>
    </row>
    <row r="364" spans="1:7" x14ac:dyDescent="0.3">
      <c r="A364" s="1">
        <v>45477</v>
      </c>
      <c r="B364" s="2">
        <v>3445.81</v>
      </c>
      <c r="C364" s="2">
        <v>3468.3</v>
      </c>
      <c r="D364" s="2">
        <v>3483.31</v>
      </c>
      <c r="E364" s="2">
        <v>3444.93</v>
      </c>
      <c r="F364" t="s">
        <v>411</v>
      </c>
      <c r="G364" s="3">
        <v>-5.1000000000000004E-3</v>
      </c>
    </row>
    <row r="365" spans="1:7" x14ac:dyDescent="0.3">
      <c r="A365" s="1">
        <v>45478</v>
      </c>
      <c r="B365" s="2">
        <v>3431.06</v>
      </c>
      <c r="C365" s="2">
        <v>3443.36</v>
      </c>
      <c r="D365" s="2">
        <v>3451.04</v>
      </c>
      <c r="E365" s="2">
        <v>3399.67</v>
      </c>
      <c r="F365" t="s">
        <v>410</v>
      </c>
      <c r="G365" s="3">
        <v>-4.3E-3</v>
      </c>
    </row>
    <row r="366" spans="1:7" x14ac:dyDescent="0.3">
      <c r="A366" s="1">
        <v>45481</v>
      </c>
      <c r="B366" s="2">
        <v>3401.76</v>
      </c>
      <c r="C366" s="2">
        <v>3420.8</v>
      </c>
      <c r="D366" s="2">
        <v>3428.04</v>
      </c>
      <c r="E366" s="2">
        <v>3395.91</v>
      </c>
      <c r="F366" t="s">
        <v>409</v>
      </c>
      <c r="G366" s="3">
        <v>-8.5000000000000006E-3</v>
      </c>
    </row>
    <row r="367" spans="1:7" x14ac:dyDescent="0.3">
      <c r="A367" s="1">
        <v>45482</v>
      </c>
      <c r="B367" s="2">
        <v>3439.81</v>
      </c>
      <c r="C367" s="2">
        <v>3396.8</v>
      </c>
      <c r="D367" s="2">
        <v>3448.93</v>
      </c>
      <c r="E367" s="2">
        <v>3384.81</v>
      </c>
      <c r="F367" t="s">
        <v>408</v>
      </c>
      <c r="G367" s="3">
        <v>1.12E-2</v>
      </c>
    </row>
    <row r="368" spans="1:7" x14ac:dyDescent="0.3">
      <c r="A368" s="1">
        <v>45483</v>
      </c>
      <c r="B368" s="2">
        <v>3428.97</v>
      </c>
      <c r="C368" s="2">
        <v>3425.88</v>
      </c>
      <c r="D368" s="2">
        <v>3447.5</v>
      </c>
      <c r="E368" s="2">
        <v>3423.65</v>
      </c>
      <c r="F368" t="s">
        <v>407</v>
      </c>
      <c r="G368" s="3">
        <v>-3.2000000000000002E-3</v>
      </c>
    </row>
    <row r="369" spans="1:7" x14ac:dyDescent="0.3">
      <c r="A369" s="1">
        <v>45484</v>
      </c>
      <c r="B369" s="2">
        <v>3468.17</v>
      </c>
      <c r="C369" s="2">
        <v>3451.04</v>
      </c>
      <c r="D369" s="2">
        <v>3473.98</v>
      </c>
      <c r="E369" s="2">
        <v>3438.12</v>
      </c>
      <c r="F369" t="s">
        <v>406</v>
      </c>
      <c r="G369" s="3">
        <v>1.14E-2</v>
      </c>
    </row>
    <row r="370" spans="1:7" x14ac:dyDescent="0.3">
      <c r="A370" s="1">
        <v>45485</v>
      </c>
      <c r="B370" s="2">
        <v>3472.4</v>
      </c>
      <c r="C370" s="2">
        <v>3459.96</v>
      </c>
      <c r="D370" s="2">
        <v>3479.1</v>
      </c>
      <c r="E370" s="2">
        <v>3457.36</v>
      </c>
      <c r="F370" t="s">
        <v>405</v>
      </c>
      <c r="G370" s="3">
        <v>1.1999999999999999E-3</v>
      </c>
    </row>
    <row r="371" spans="1:7" x14ac:dyDescent="0.3">
      <c r="A371" s="1">
        <v>45488</v>
      </c>
      <c r="B371" s="2">
        <v>3476.25</v>
      </c>
      <c r="C371" s="2">
        <v>3462.61</v>
      </c>
      <c r="D371" s="2">
        <v>3481.46</v>
      </c>
      <c r="E371" s="2">
        <v>3460.79</v>
      </c>
      <c r="F371" t="s">
        <v>404</v>
      </c>
      <c r="G371" s="3">
        <v>1.1000000000000001E-3</v>
      </c>
    </row>
    <row r="372" spans="1:7" x14ac:dyDescent="0.3">
      <c r="A372" s="1">
        <v>45489</v>
      </c>
      <c r="B372" s="2">
        <v>3498.28</v>
      </c>
      <c r="C372" s="2">
        <v>3466.85</v>
      </c>
      <c r="D372" s="2">
        <v>3500.29</v>
      </c>
      <c r="E372" s="2">
        <v>3464.37</v>
      </c>
      <c r="F372" t="s">
        <v>403</v>
      </c>
      <c r="G372" s="3">
        <v>6.3E-3</v>
      </c>
    </row>
    <row r="373" spans="1:7" x14ac:dyDescent="0.3">
      <c r="A373" s="1">
        <v>45490</v>
      </c>
      <c r="B373" s="2">
        <v>3501.58</v>
      </c>
      <c r="C373" s="2">
        <v>3494.21</v>
      </c>
      <c r="D373" s="2">
        <v>3514.48</v>
      </c>
      <c r="E373" s="2">
        <v>3486.22</v>
      </c>
      <c r="F373" t="s">
        <v>402</v>
      </c>
      <c r="G373" s="3">
        <v>8.9999999999999998E-4</v>
      </c>
    </row>
    <row r="374" spans="1:7" x14ac:dyDescent="0.3">
      <c r="A374" s="1">
        <v>45491</v>
      </c>
      <c r="B374" s="2">
        <v>3520.93</v>
      </c>
      <c r="C374" s="2">
        <v>3483.3</v>
      </c>
      <c r="D374" s="2">
        <v>3522.8</v>
      </c>
      <c r="E374" s="2">
        <v>3475.72</v>
      </c>
      <c r="F374" t="s">
        <v>401</v>
      </c>
      <c r="G374" s="3">
        <v>5.4999999999999997E-3</v>
      </c>
    </row>
    <row r="375" spans="1:7" x14ac:dyDescent="0.3">
      <c r="A375" s="1">
        <v>45492</v>
      </c>
      <c r="B375" s="2">
        <v>3539.02</v>
      </c>
      <c r="C375" s="2">
        <v>3500.81</v>
      </c>
      <c r="D375" s="2">
        <v>3545.34</v>
      </c>
      <c r="E375" s="2">
        <v>3493.07</v>
      </c>
      <c r="F375" t="s">
        <v>400</v>
      </c>
      <c r="G375" s="3">
        <v>5.1000000000000004E-3</v>
      </c>
    </row>
    <row r="376" spans="1:7" x14ac:dyDescent="0.3">
      <c r="A376" s="1">
        <v>45495</v>
      </c>
      <c r="B376" s="2">
        <v>3514.92</v>
      </c>
      <c r="C376" s="2">
        <v>3538.4</v>
      </c>
      <c r="D376" s="2">
        <v>3540.19</v>
      </c>
      <c r="E376" s="2">
        <v>3494.01</v>
      </c>
      <c r="F376" t="s">
        <v>399</v>
      </c>
      <c r="G376" s="3">
        <v>-6.7999999999999996E-3</v>
      </c>
    </row>
    <row r="377" spans="1:7" x14ac:dyDescent="0.3">
      <c r="A377" s="1">
        <v>45496</v>
      </c>
      <c r="B377" s="2">
        <v>3439.88</v>
      </c>
      <c r="C377" s="2">
        <v>3509.79</v>
      </c>
      <c r="D377" s="2">
        <v>3509.79</v>
      </c>
      <c r="E377" s="2">
        <v>3439.88</v>
      </c>
      <c r="F377" t="s">
        <v>398</v>
      </c>
      <c r="G377" s="3">
        <v>-2.1399999999999999E-2</v>
      </c>
    </row>
    <row r="378" spans="1:7" x14ac:dyDescent="0.3">
      <c r="A378" s="1">
        <v>45497</v>
      </c>
      <c r="B378" s="2">
        <v>3418.17</v>
      </c>
      <c r="C378" s="2">
        <v>3432.35</v>
      </c>
      <c r="D378" s="2">
        <v>3451.42</v>
      </c>
      <c r="E378" s="2">
        <v>3408.41</v>
      </c>
      <c r="F378" t="s">
        <v>397</v>
      </c>
      <c r="G378" s="3">
        <v>-6.3E-3</v>
      </c>
    </row>
    <row r="379" spans="1:7" x14ac:dyDescent="0.3">
      <c r="A379" s="1">
        <v>45498</v>
      </c>
      <c r="B379" s="2">
        <v>3399.27</v>
      </c>
      <c r="C379" s="2">
        <v>3404.61</v>
      </c>
      <c r="D379" s="2">
        <v>3415.86</v>
      </c>
      <c r="E379" s="2">
        <v>3383.8</v>
      </c>
      <c r="F379" t="s">
        <v>396</v>
      </c>
      <c r="G379" s="3">
        <v>-5.4999999999999997E-3</v>
      </c>
    </row>
    <row r="380" spans="1:7" x14ac:dyDescent="0.3">
      <c r="A380" s="1">
        <v>45499</v>
      </c>
      <c r="B380" s="2">
        <v>3409.29</v>
      </c>
      <c r="C380" s="2">
        <v>3403.71</v>
      </c>
      <c r="D380" s="2">
        <v>3420.82</v>
      </c>
      <c r="E380" s="2">
        <v>3388.66</v>
      </c>
      <c r="F380" t="s">
        <v>395</v>
      </c>
      <c r="G380" s="3">
        <v>2.8999999999999998E-3</v>
      </c>
    </row>
    <row r="381" spans="1:7" x14ac:dyDescent="0.3">
      <c r="A381" s="1">
        <v>45502</v>
      </c>
      <c r="B381" s="2">
        <v>3390.74</v>
      </c>
      <c r="C381" s="2">
        <v>3404.37</v>
      </c>
      <c r="D381" s="2">
        <v>3408.5</v>
      </c>
      <c r="E381" s="2">
        <v>3388.84</v>
      </c>
      <c r="F381" t="s">
        <v>201</v>
      </c>
      <c r="G381" s="3">
        <v>-5.4000000000000003E-3</v>
      </c>
    </row>
    <row r="382" spans="1:7" x14ac:dyDescent="0.3">
      <c r="A382" s="1">
        <v>45503</v>
      </c>
      <c r="B382" s="2">
        <v>3369.38</v>
      </c>
      <c r="C382" s="2">
        <v>3380.69</v>
      </c>
      <c r="D382" s="2">
        <v>3380.69</v>
      </c>
      <c r="E382" s="2">
        <v>3352.8</v>
      </c>
      <c r="F382" t="s">
        <v>394</v>
      </c>
      <c r="G382" s="3">
        <v>-6.3E-3</v>
      </c>
    </row>
    <row r="383" spans="1:7" x14ac:dyDescent="0.3">
      <c r="A383" s="1">
        <v>45504</v>
      </c>
      <c r="B383" s="2">
        <v>3442.08</v>
      </c>
      <c r="C383" s="2">
        <v>3364.03</v>
      </c>
      <c r="D383" s="2">
        <v>3445</v>
      </c>
      <c r="E383" s="2">
        <v>3364.03</v>
      </c>
      <c r="F383" t="s">
        <v>393</v>
      </c>
      <c r="G383" s="3">
        <v>2.1600000000000001E-2</v>
      </c>
    </row>
    <row r="384" spans="1:7" x14ac:dyDescent="0.3">
      <c r="A384" s="1">
        <v>45505</v>
      </c>
      <c r="B384" s="2">
        <v>3419.27</v>
      </c>
      <c r="C384" s="2">
        <v>3443.14</v>
      </c>
      <c r="D384" s="2">
        <v>3448.34</v>
      </c>
      <c r="E384" s="2">
        <v>3419.19</v>
      </c>
      <c r="F384" t="s">
        <v>392</v>
      </c>
      <c r="G384" s="3">
        <v>-6.6E-3</v>
      </c>
    </row>
    <row r="385" spans="1:7" x14ac:dyDescent="0.3">
      <c r="A385" s="1">
        <v>45506</v>
      </c>
      <c r="B385" s="2">
        <v>3384.39</v>
      </c>
      <c r="C385" s="2">
        <v>3393.92</v>
      </c>
      <c r="D385" s="2">
        <v>3419.1</v>
      </c>
      <c r="E385" s="2">
        <v>3380.96</v>
      </c>
      <c r="F385" t="s">
        <v>391</v>
      </c>
      <c r="G385" s="3">
        <v>-1.0200000000000001E-2</v>
      </c>
    </row>
    <row r="386" spans="1:7" x14ac:dyDescent="0.3">
      <c r="A386" s="1">
        <v>45509</v>
      </c>
      <c r="B386" s="2">
        <v>3343.32</v>
      </c>
      <c r="C386" s="2">
        <v>3362.11</v>
      </c>
      <c r="D386" s="2">
        <v>3409.03</v>
      </c>
      <c r="E386" s="2">
        <v>3343.32</v>
      </c>
      <c r="F386" t="s">
        <v>390</v>
      </c>
      <c r="G386" s="3">
        <v>-1.21E-2</v>
      </c>
    </row>
    <row r="387" spans="1:7" x14ac:dyDescent="0.3">
      <c r="A387" s="1">
        <v>45510</v>
      </c>
      <c r="B387" s="2">
        <v>3342.98</v>
      </c>
      <c r="C387" s="2">
        <v>3367.35</v>
      </c>
      <c r="D387" s="2">
        <v>3376.8</v>
      </c>
      <c r="E387" s="2">
        <v>3318.63</v>
      </c>
      <c r="F387" t="s">
        <v>389</v>
      </c>
      <c r="G387" s="3">
        <v>-1E-4</v>
      </c>
    </row>
    <row r="388" spans="1:7" x14ac:dyDescent="0.3">
      <c r="A388" s="1">
        <v>45511</v>
      </c>
      <c r="B388" s="2">
        <v>3341.49</v>
      </c>
      <c r="C388" s="2">
        <v>3338.59</v>
      </c>
      <c r="D388" s="2">
        <v>3362.38</v>
      </c>
      <c r="E388" s="2">
        <v>3329.97</v>
      </c>
      <c r="F388" t="s">
        <v>388</v>
      </c>
      <c r="G388" s="3">
        <v>-4.0000000000000002E-4</v>
      </c>
    </row>
    <row r="389" spans="1:7" x14ac:dyDescent="0.3">
      <c r="A389" s="1">
        <v>45512</v>
      </c>
      <c r="B389" s="2">
        <v>3342.94</v>
      </c>
      <c r="C389" s="2">
        <v>3332.43</v>
      </c>
      <c r="D389" s="2">
        <v>3364.79</v>
      </c>
      <c r="E389" s="2">
        <v>3320.84</v>
      </c>
      <c r="F389" t="s">
        <v>387</v>
      </c>
      <c r="G389" s="3">
        <v>4.0000000000000002E-4</v>
      </c>
    </row>
    <row r="390" spans="1:7" x14ac:dyDescent="0.3">
      <c r="A390" s="1">
        <v>45513</v>
      </c>
      <c r="B390" s="2">
        <v>3331.63</v>
      </c>
      <c r="C390" s="2">
        <v>3358.13</v>
      </c>
      <c r="D390" s="2">
        <v>3366.67</v>
      </c>
      <c r="E390" s="2">
        <v>3331.63</v>
      </c>
      <c r="F390" t="s">
        <v>386</v>
      </c>
      <c r="G390" s="3">
        <v>-3.3999999999999998E-3</v>
      </c>
    </row>
    <row r="391" spans="1:7" x14ac:dyDescent="0.3">
      <c r="A391" s="1">
        <v>45516</v>
      </c>
      <c r="B391" s="2">
        <v>3325.86</v>
      </c>
      <c r="C391" s="2">
        <v>3327.56</v>
      </c>
      <c r="D391" s="2">
        <v>3338.08</v>
      </c>
      <c r="E391" s="2">
        <v>3319.89</v>
      </c>
      <c r="F391" t="s">
        <v>385</v>
      </c>
      <c r="G391" s="3">
        <v>-1.6999999999999999E-3</v>
      </c>
    </row>
    <row r="392" spans="1:7" x14ac:dyDescent="0.3">
      <c r="A392" s="1">
        <v>45517</v>
      </c>
      <c r="B392" s="2">
        <v>3334.39</v>
      </c>
      <c r="C392" s="2">
        <v>3328.01</v>
      </c>
      <c r="D392" s="2">
        <v>3335.01</v>
      </c>
      <c r="E392" s="2">
        <v>3310.19</v>
      </c>
      <c r="F392" t="s">
        <v>384</v>
      </c>
      <c r="G392" s="3">
        <v>2.5999999999999999E-3</v>
      </c>
    </row>
    <row r="393" spans="1:7" x14ac:dyDescent="0.3">
      <c r="A393" s="1">
        <v>45518</v>
      </c>
      <c r="B393" s="2">
        <v>3309.24</v>
      </c>
      <c r="C393" s="2">
        <v>3332.79</v>
      </c>
      <c r="D393" s="2">
        <v>3332.79</v>
      </c>
      <c r="E393" s="2">
        <v>3309.1</v>
      </c>
      <c r="F393" t="s">
        <v>383</v>
      </c>
      <c r="G393" s="3">
        <v>-7.4999999999999997E-3</v>
      </c>
    </row>
    <row r="394" spans="1:7" x14ac:dyDescent="0.3">
      <c r="A394" s="1">
        <v>45519</v>
      </c>
      <c r="B394" s="2">
        <v>3341.95</v>
      </c>
      <c r="C394" s="2">
        <v>3301.45</v>
      </c>
      <c r="D394" s="2">
        <v>3356.76</v>
      </c>
      <c r="E394" s="2">
        <v>3297.97</v>
      </c>
      <c r="F394" t="s">
        <v>382</v>
      </c>
      <c r="G394" s="3">
        <v>9.9000000000000008E-3</v>
      </c>
    </row>
    <row r="395" spans="1:7" x14ac:dyDescent="0.3">
      <c r="A395" s="1">
        <v>45520</v>
      </c>
      <c r="B395" s="2">
        <v>3345.63</v>
      </c>
      <c r="C395" s="2">
        <v>3342.03</v>
      </c>
      <c r="D395" s="2">
        <v>3356.91</v>
      </c>
      <c r="E395" s="2">
        <v>3335.62</v>
      </c>
      <c r="F395" t="s">
        <v>381</v>
      </c>
      <c r="G395" s="3">
        <v>1.1000000000000001E-3</v>
      </c>
    </row>
    <row r="396" spans="1:7" x14ac:dyDescent="0.3">
      <c r="A396" s="1">
        <v>45523</v>
      </c>
      <c r="B396" s="2">
        <v>3356.97</v>
      </c>
      <c r="C396" s="2">
        <v>3344.26</v>
      </c>
      <c r="D396" s="2">
        <v>3375.96</v>
      </c>
      <c r="E396" s="2">
        <v>3343.71</v>
      </c>
      <c r="F396" t="s">
        <v>380</v>
      </c>
      <c r="G396" s="3">
        <v>3.3999999999999998E-3</v>
      </c>
    </row>
    <row r="397" spans="1:7" x14ac:dyDescent="0.3">
      <c r="A397" s="1">
        <v>45524</v>
      </c>
      <c r="B397" s="2">
        <v>3332.7</v>
      </c>
      <c r="C397" s="2">
        <v>3361.64</v>
      </c>
      <c r="D397" s="2">
        <v>3362.33</v>
      </c>
      <c r="E397" s="2">
        <v>3321.64</v>
      </c>
      <c r="F397" t="s">
        <v>379</v>
      </c>
      <c r="G397" s="3">
        <v>-7.1999999999999998E-3</v>
      </c>
    </row>
    <row r="398" spans="1:7" x14ac:dyDescent="0.3">
      <c r="A398" s="1">
        <v>45525</v>
      </c>
      <c r="B398" s="2">
        <v>3321.64</v>
      </c>
      <c r="C398" s="2">
        <v>3322.91</v>
      </c>
      <c r="D398" s="2">
        <v>3339.44</v>
      </c>
      <c r="E398" s="2">
        <v>3307.99</v>
      </c>
      <c r="F398" t="s">
        <v>378</v>
      </c>
      <c r="G398" s="3">
        <v>-3.3E-3</v>
      </c>
    </row>
    <row r="399" spans="1:7" x14ac:dyDescent="0.3">
      <c r="A399" s="1">
        <v>45526</v>
      </c>
      <c r="B399" s="2">
        <v>3313.14</v>
      </c>
      <c r="C399" s="2">
        <v>3322.87</v>
      </c>
      <c r="D399" s="2">
        <v>3327.7</v>
      </c>
      <c r="E399" s="2">
        <v>3305.25</v>
      </c>
      <c r="F399" t="s">
        <v>377</v>
      </c>
      <c r="G399" s="3">
        <v>-2.5999999999999999E-3</v>
      </c>
    </row>
    <row r="400" spans="1:7" x14ac:dyDescent="0.3">
      <c r="A400" s="1">
        <v>45527</v>
      </c>
      <c r="B400" s="2">
        <v>3327.19</v>
      </c>
      <c r="C400" s="2">
        <v>3305.93</v>
      </c>
      <c r="D400" s="2">
        <v>3336.24</v>
      </c>
      <c r="E400" s="2">
        <v>3305.64</v>
      </c>
      <c r="F400" t="s">
        <v>376</v>
      </c>
      <c r="G400" s="3">
        <v>4.1999999999999997E-3</v>
      </c>
    </row>
    <row r="401" spans="1:7" x14ac:dyDescent="0.3">
      <c r="A401" s="1">
        <v>45530</v>
      </c>
      <c r="B401" s="2">
        <v>3324.22</v>
      </c>
      <c r="C401" s="2">
        <v>3330.72</v>
      </c>
      <c r="D401" s="2">
        <v>3336.53</v>
      </c>
      <c r="E401" s="2">
        <v>3311.57</v>
      </c>
      <c r="F401" t="s">
        <v>375</v>
      </c>
      <c r="G401" s="3">
        <v>-8.9999999999999998E-4</v>
      </c>
    </row>
    <row r="402" spans="1:7" x14ac:dyDescent="0.3">
      <c r="A402" s="1">
        <v>45531</v>
      </c>
      <c r="B402" s="2">
        <v>3305.33</v>
      </c>
      <c r="C402" s="2">
        <v>3315.69</v>
      </c>
      <c r="D402" s="2">
        <v>3320.57</v>
      </c>
      <c r="E402" s="2">
        <v>3299.56</v>
      </c>
      <c r="F402" t="s">
        <v>374</v>
      </c>
      <c r="G402" s="3">
        <v>-5.7000000000000002E-3</v>
      </c>
    </row>
    <row r="403" spans="1:7" x14ac:dyDescent="0.3">
      <c r="A403" s="1">
        <v>45532</v>
      </c>
      <c r="B403" s="2">
        <v>3286.5</v>
      </c>
      <c r="C403" s="2">
        <v>3298.91</v>
      </c>
      <c r="D403" s="2">
        <v>3305.35</v>
      </c>
      <c r="E403" s="2">
        <v>3274.59</v>
      </c>
      <c r="F403" t="s">
        <v>373</v>
      </c>
      <c r="G403" s="3">
        <v>-5.7000000000000002E-3</v>
      </c>
    </row>
    <row r="404" spans="1:7" x14ac:dyDescent="0.3">
      <c r="A404" s="1">
        <v>45533</v>
      </c>
      <c r="B404" s="2">
        <v>3277.68</v>
      </c>
      <c r="C404" s="2">
        <v>3273.54</v>
      </c>
      <c r="D404" s="2">
        <v>3290.79</v>
      </c>
      <c r="E404" s="2">
        <v>3269.53</v>
      </c>
      <c r="F404" t="s">
        <v>372</v>
      </c>
      <c r="G404" s="3">
        <v>-2.7000000000000001E-3</v>
      </c>
    </row>
    <row r="405" spans="1:7" x14ac:dyDescent="0.3">
      <c r="A405" s="1">
        <v>45534</v>
      </c>
      <c r="B405" s="2">
        <v>3321.43</v>
      </c>
      <c r="C405" s="2">
        <v>3273.75</v>
      </c>
      <c r="D405" s="2">
        <v>3351.63</v>
      </c>
      <c r="E405" s="2">
        <v>3273.65</v>
      </c>
      <c r="F405" t="s">
        <v>371</v>
      </c>
      <c r="G405" s="3">
        <v>1.3299999999999999E-2</v>
      </c>
    </row>
    <row r="406" spans="1:7" x14ac:dyDescent="0.3">
      <c r="A406" s="1">
        <v>45537</v>
      </c>
      <c r="B406" s="2">
        <v>3265.01</v>
      </c>
      <c r="C406" s="2">
        <v>3307.54</v>
      </c>
      <c r="D406" s="2">
        <v>3307.76</v>
      </c>
      <c r="E406" s="2">
        <v>3264.76</v>
      </c>
      <c r="F406" t="s">
        <v>370</v>
      </c>
      <c r="G406" s="3">
        <v>-1.7000000000000001E-2</v>
      </c>
    </row>
    <row r="407" spans="1:7" x14ac:dyDescent="0.3">
      <c r="A407" s="1">
        <v>45538</v>
      </c>
      <c r="B407" s="2">
        <v>3273.43</v>
      </c>
      <c r="C407" s="2">
        <v>3261.74</v>
      </c>
      <c r="D407" s="2">
        <v>3281.59</v>
      </c>
      <c r="E407" s="2">
        <v>3261.19</v>
      </c>
      <c r="F407" t="s">
        <v>369</v>
      </c>
      <c r="G407" s="3">
        <v>2.5999999999999999E-3</v>
      </c>
    </row>
    <row r="408" spans="1:7" x14ac:dyDescent="0.3">
      <c r="A408" s="1">
        <v>45539</v>
      </c>
      <c r="B408" s="2">
        <v>3252.16</v>
      </c>
      <c r="C408" s="2">
        <v>3253.9</v>
      </c>
      <c r="D408" s="2">
        <v>3272.99</v>
      </c>
      <c r="E408" s="2">
        <v>3249.98</v>
      </c>
      <c r="F408" t="s">
        <v>368</v>
      </c>
      <c r="G408" s="3">
        <v>-6.4999999999999997E-3</v>
      </c>
    </row>
    <row r="409" spans="1:7" x14ac:dyDescent="0.3">
      <c r="A409" s="1">
        <v>45540</v>
      </c>
      <c r="B409" s="2">
        <v>3257.76</v>
      </c>
      <c r="C409" s="2">
        <v>3252.96</v>
      </c>
      <c r="D409" s="2">
        <v>3266.88</v>
      </c>
      <c r="E409" s="2">
        <v>3247.17</v>
      </c>
      <c r="F409" t="s">
        <v>367</v>
      </c>
      <c r="G409" s="3">
        <v>1.6999999999999999E-3</v>
      </c>
    </row>
    <row r="410" spans="1:7" x14ac:dyDescent="0.3">
      <c r="A410" s="1">
        <v>45541</v>
      </c>
      <c r="B410" s="2">
        <v>3231.35</v>
      </c>
      <c r="C410" s="2">
        <v>3261.15</v>
      </c>
      <c r="D410" s="2">
        <v>3274.81</v>
      </c>
      <c r="E410" s="2">
        <v>3231.07</v>
      </c>
      <c r="F410" t="s">
        <v>366</v>
      </c>
      <c r="G410" s="3">
        <v>-8.0999999999999996E-3</v>
      </c>
    </row>
    <row r="411" spans="1:7" x14ac:dyDescent="0.3">
      <c r="A411" s="1">
        <v>45544</v>
      </c>
      <c r="B411" s="2">
        <v>3192.95</v>
      </c>
      <c r="C411" s="2">
        <v>3214.8</v>
      </c>
      <c r="D411" s="2">
        <v>3222.93</v>
      </c>
      <c r="E411" s="2">
        <v>3180.93</v>
      </c>
      <c r="F411" t="s">
        <v>365</v>
      </c>
      <c r="G411" s="3">
        <v>-1.1900000000000001E-2</v>
      </c>
    </row>
    <row r="412" spans="1:7" x14ac:dyDescent="0.3">
      <c r="A412" s="1">
        <v>45545</v>
      </c>
      <c r="B412" s="2">
        <v>3195.76</v>
      </c>
      <c r="C412" s="2">
        <v>3193.46</v>
      </c>
      <c r="D412" s="2">
        <v>3205.1</v>
      </c>
      <c r="E412" s="2">
        <v>3171.79</v>
      </c>
      <c r="F412" t="s">
        <v>364</v>
      </c>
      <c r="G412" s="3">
        <v>8.9999999999999998E-4</v>
      </c>
    </row>
    <row r="413" spans="1:7" x14ac:dyDescent="0.3">
      <c r="A413" s="1">
        <v>45546</v>
      </c>
      <c r="B413" s="2">
        <v>3186.13</v>
      </c>
      <c r="C413" s="2">
        <v>3187.05</v>
      </c>
      <c r="D413" s="2">
        <v>3197.34</v>
      </c>
      <c r="E413" s="2">
        <v>3174.03</v>
      </c>
      <c r="F413" t="s">
        <v>363</v>
      </c>
      <c r="G413" s="3">
        <v>-3.0000000000000001E-3</v>
      </c>
    </row>
    <row r="414" spans="1:7" x14ac:dyDescent="0.3">
      <c r="A414" s="1">
        <v>45547</v>
      </c>
      <c r="B414" s="2">
        <v>3172.47</v>
      </c>
      <c r="C414" s="2">
        <v>3189.43</v>
      </c>
      <c r="D414" s="2">
        <v>3201.55</v>
      </c>
      <c r="E414" s="2">
        <v>3171.88</v>
      </c>
      <c r="F414" t="s">
        <v>362</v>
      </c>
      <c r="G414" s="3">
        <v>-4.3E-3</v>
      </c>
    </row>
    <row r="415" spans="1:7" x14ac:dyDescent="0.3">
      <c r="A415" s="1">
        <v>45548</v>
      </c>
      <c r="B415" s="2">
        <v>3159.25</v>
      </c>
      <c r="C415" s="2">
        <v>3174.03</v>
      </c>
      <c r="D415" s="2">
        <v>3188.91</v>
      </c>
      <c r="E415" s="2">
        <v>3159.25</v>
      </c>
      <c r="F415" t="s">
        <v>361</v>
      </c>
      <c r="G415" s="3">
        <v>-4.1999999999999997E-3</v>
      </c>
    </row>
    <row r="416" spans="1:7" x14ac:dyDescent="0.3">
      <c r="A416" s="1">
        <v>45553</v>
      </c>
      <c r="B416" s="2">
        <v>3171.01</v>
      </c>
      <c r="C416" s="2">
        <v>3158.82</v>
      </c>
      <c r="D416" s="2">
        <v>3179.9</v>
      </c>
      <c r="E416" s="2">
        <v>3145.79</v>
      </c>
      <c r="F416" t="s">
        <v>360</v>
      </c>
      <c r="G416" s="3">
        <v>3.7000000000000002E-3</v>
      </c>
    </row>
    <row r="417" spans="1:7" x14ac:dyDescent="0.3">
      <c r="A417" s="1">
        <v>45554</v>
      </c>
      <c r="B417" s="2">
        <v>3196.04</v>
      </c>
      <c r="C417" s="2">
        <v>3178.4</v>
      </c>
      <c r="D417" s="2">
        <v>3213.84</v>
      </c>
      <c r="E417" s="2">
        <v>3149.79</v>
      </c>
      <c r="F417" t="s">
        <v>359</v>
      </c>
      <c r="G417" s="3">
        <v>7.9000000000000008E-3</v>
      </c>
    </row>
    <row r="418" spans="1:7" x14ac:dyDescent="0.3">
      <c r="A418" s="1">
        <v>45555</v>
      </c>
      <c r="B418" s="2">
        <v>3201.05</v>
      </c>
      <c r="C418" s="2">
        <v>3192.43</v>
      </c>
      <c r="D418" s="2">
        <v>3207.99</v>
      </c>
      <c r="E418" s="2">
        <v>3173.22</v>
      </c>
      <c r="F418" t="s">
        <v>358</v>
      </c>
      <c r="G418" s="3">
        <v>1.6000000000000001E-3</v>
      </c>
    </row>
    <row r="419" spans="1:7" x14ac:dyDescent="0.3">
      <c r="A419" s="1">
        <v>45558</v>
      </c>
      <c r="B419" s="2">
        <v>3212.76</v>
      </c>
      <c r="C419" s="2">
        <v>3200.87</v>
      </c>
      <c r="D419" s="2">
        <v>3230.16</v>
      </c>
      <c r="E419" s="2">
        <v>3198.02</v>
      </c>
      <c r="F419" t="s">
        <v>357</v>
      </c>
      <c r="G419" s="3">
        <v>3.7000000000000002E-3</v>
      </c>
    </row>
    <row r="420" spans="1:7" x14ac:dyDescent="0.3">
      <c r="A420" s="1">
        <v>45559</v>
      </c>
      <c r="B420" s="2">
        <v>3351.91</v>
      </c>
      <c r="C420" s="2">
        <v>3244.65</v>
      </c>
      <c r="D420" s="2">
        <v>3351.97</v>
      </c>
      <c r="E420" s="2">
        <v>3222.49</v>
      </c>
      <c r="F420" t="s">
        <v>356</v>
      </c>
      <c r="G420" s="3">
        <v>4.3299999999999998E-2</v>
      </c>
    </row>
    <row r="421" spans="1:7" x14ac:dyDescent="0.3">
      <c r="A421" s="1">
        <v>45560</v>
      </c>
      <c r="B421" s="2">
        <v>3401.53</v>
      </c>
      <c r="C421" s="2">
        <v>3403.7</v>
      </c>
      <c r="D421" s="2">
        <v>3465.49</v>
      </c>
      <c r="E421" s="2">
        <v>3393.44</v>
      </c>
      <c r="F421" t="s">
        <v>355</v>
      </c>
      <c r="G421" s="3">
        <v>1.4800000000000001E-2</v>
      </c>
    </row>
    <row r="422" spans="1:7" x14ac:dyDescent="0.3">
      <c r="A422" s="1">
        <v>45561</v>
      </c>
      <c r="B422" s="2">
        <v>3545.32</v>
      </c>
      <c r="C422" s="2">
        <v>3399.32</v>
      </c>
      <c r="D422" s="2">
        <v>3545.32</v>
      </c>
      <c r="E422" s="2">
        <v>3391.68</v>
      </c>
      <c r="F422" t="s">
        <v>354</v>
      </c>
      <c r="G422" s="3">
        <v>4.2299999999999997E-2</v>
      </c>
    </row>
    <row r="423" spans="1:7" x14ac:dyDescent="0.3">
      <c r="A423" s="1">
        <v>45562</v>
      </c>
      <c r="B423" s="2">
        <v>3703.68</v>
      </c>
      <c r="C423" s="2">
        <v>3617.92</v>
      </c>
      <c r="D423" s="2">
        <v>3708.5</v>
      </c>
      <c r="E423" s="2">
        <v>3596.58</v>
      </c>
      <c r="F423" t="s">
        <v>353</v>
      </c>
      <c r="G423" s="3">
        <v>4.4699999999999997E-2</v>
      </c>
    </row>
    <row r="424" spans="1:7" x14ac:dyDescent="0.3">
      <c r="A424" s="1">
        <v>45565</v>
      </c>
      <c r="B424" s="2">
        <v>4017.85</v>
      </c>
      <c r="C424" s="2">
        <v>3846.65</v>
      </c>
      <c r="D424" s="2">
        <v>4038.7</v>
      </c>
      <c r="E424" s="2">
        <v>3796.5</v>
      </c>
      <c r="F424" t="s">
        <v>352</v>
      </c>
      <c r="G424" s="3">
        <v>8.48E-2</v>
      </c>
    </row>
    <row r="425" spans="1:7" x14ac:dyDescent="0.3">
      <c r="A425" s="1">
        <v>45573</v>
      </c>
      <c r="B425" s="2">
        <v>4256.1000000000004</v>
      </c>
      <c r="C425" s="2">
        <v>4450.37</v>
      </c>
      <c r="D425" s="2">
        <v>4450.37</v>
      </c>
      <c r="E425" s="2">
        <v>4094.35</v>
      </c>
      <c r="F425" t="s">
        <v>351</v>
      </c>
      <c r="G425" s="3">
        <v>5.9299999999999999E-2</v>
      </c>
    </row>
    <row r="426" spans="1:7" x14ac:dyDescent="0.3">
      <c r="A426" s="1">
        <v>45574</v>
      </c>
      <c r="B426" s="2">
        <v>3955.98</v>
      </c>
      <c r="C426" s="2">
        <v>4168.84</v>
      </c>
      <c r="D426" s="2">
        <v>4197.6000000000004</v>
      </c>
      <c r="E426" s="2">
        <v>3942.51</v>
      </c>
      <c r="F426" t="s">
        <v>350</v>
      </c>
      <c r="G426" s="3">
        <v>-7.0499999999999993E-2</v>
      </c>
    </row>
    <row r="427" spans="1:7" x14ac:dyDescent="0.3">
      <c r="A427" s="1">
        <v>45575</v>
      </c>
      <c r="B427" s="2">
        <v>3997.79</v>
      </c>
      <c r="C427" s="2">
        <v>3979.61</v>
      </c>
      <c r="D427" s="2">
        <v>4098.5</v>
      </c>
      <c r="E427" s="2">
        <v>3912.77</v>
      </c>
      <c r="F427" t="s">
        <v>349</v>
      </c>
      <c r="G427" s="3">
        <v>1.06E-2</v>
      </c>
    </row>
    <row r="428" spans="1:7" x14ac:dyDescent="0.3">
      <c r="A428" s="1">
        <v>45576</v>
      </c>
      <c r="B428" s="2">
        <v>3887.17</v>
      </c>
      <c r="C428" s="2">
        <v>3969.76</v>
      </c>
      <c r="D428" s="2">
        <v>3978.24</v>
      </c>
      <c r="E428" s="2">
        <v>3847.12</v>
      </c>
      <c r="F428" t="s">
        <v>348</v>
      </c>
      <c r="G428" s="3">
        <v>-2.7699999999999999E-2</v>
      </c>
    </row>
    <row r="429" spans="1:7" x14ac:dyDescent="0.3">
      <c r="A429" s="1">
        <v>45579</v>
      </c>
      <c r="B429" s="2">
        <v>3961.34</v>
      </c>
      <c r="C429" s="2">
        <v>3915.22</v>
      </c>
      <c r="D429" s="2">
        <v>3979.54</v>
      </c>
      <c r="E429" s="2">
        <v>3868.78</v>
      </c>
      <c r="F429" t="s">
        <v>347</v>
      </c>
      <c r="G429" s="3">
        <v>1.9099999999999999E-2</v>
      </c>
    </row>
    <row r="430" spans="1:7" x14ac:dyDescent="0.3">
      <c r="A430" s="1">
        <v>45580</v>
      </c>
      <c r="B430" s="2">
        <v>3855.99</v>
      </c>
      <c r="C430" s="2">
        <v>3942.53</v>
      </c>
      <c r="D430" s="2">
        <v>3967.87</v>
      </c>
      <c r="E430" s="2">
        <v>3855.99</v>
      </c>
      <c r="F430" t="s">
        <v>346</v>
      </c>
      <c r="G430" s="3">
        <v>-2.6599999999999999E-2</v>
      </c>
    </row>
    <row r="431" spans="1:7" x14ac:dyDescent="0.3">
      <c r="A431" s="1">
        <v>45581</v>
      </c>
      <c r="B431" s="2">
        <v>3831.59</v>
      </c>
      <c r="C431" s="2">
        <v>3806.14</v>
      </c>
      <c r="D431" s="2">
        <v>3877.75</v>
      </c>
      <c r="E431" s="2">
        <v>3805.09</v>
      </c>
      <c r="F431" t="s">
        <v>345</v>
      </c>
      <c r="G431" s="3">
        <v>-6.3E-3</v>
      </c>
    </row>
    <row r="432" spans="1:7" x14ac:dyDescent="0.3">
      <c r="A432" s="1">
        <v>45582</v>
      </c>
      <c r="B432" s="2">
        <v>3788.22</v>
      </c>
      <c r="C432" s="2">
        <v>3853.84</v>
      </c>
      <c r="D432" s="2">
        <v>3882.07</v>
      </c>
      <c r="E432" s="2">
        <v>3787.75</v>
      </c>
      <c r="F432" t="s">
        <v>344</v>
      </c>
      <c r="G432" s="3">
        <v>-1.1299999999999999E-2</v>
      </c>
    </row>
    <row r="433" spans="1:7" x14ac:dyDescent="0.3">
      <c r="A433" s="1">
        <v>45583</v>
      </c>
      <c r="B433" s="2">
        <v>3925.23</v>
      </c>
      <c r="C433" s="2">
        <v>3780.31</v>
      </c>
      <c r="D433" s="2">
        <v>3998.21</v>
      </c>
      <c r="E433" s="2">
        <v>3765.16</v>
      </c>
      <c r="F433" t="s">
        <v>343</v>
      </c>
      <c r="G433" s="3">
        <v>3.6200000000000003E-2</v>
      </c>
    </row>
    <row r="434" spans="1:7" x14ac:dyDescent="0.3">
      <c r="A434" s="1">
        <v>45586</v>
      </c>
      <c r="B434" s="2">
        <v>3935.2</v>
      </c>
      <c r="C434" s="2">
        <v>3946.9</v>
      </c>
      <c r="D434" s="2">
        <v>3979.26</v>
      </c>
      <c r="E434" s="2">
        <v>3896.17</v>
      </c>
      <c r="F434" t="s">
        <v>342</v>
      </c>
      <c r="G434" s="3">
        <v>2.5000000000000001E-3</v>
      </c>
    </row>
    <row r="435" spans="1:7" x14ac:dyDescent="0.3">
      <c r="A435" s="1">
        <v>45587</v>
      </c>
      <c r="B435" s="2">
        <v>3957.78</v>
      </c>
      <c r="C435" s="2">
        <v>3923.74</v>
      </c>
      <c r="D435" s="2">
        <v>3965.91</v>
      </c>
      <c r="E435" s="2">
        <v>3917.52</v>
      </c>
      <c r="F435" t="s">
        <v>341</v>
      </c>
      <c r="G435" s="3">
        <v>5.7000000000000002E-3</v>
      </c>
    </row>
    <row r="436" spans="1:7" x14ac:dyDescent="0.3">
      <c r="A436" s="1">
        <v>45588</v>
      </c>
      <c r="B436" s="2">
        <v>3973.21</v>
      </c>
      <c r="C436" s="2">
        <v>3955.32</v>
      </c>
      <c r="D436" s="2">
        <v>4012.18</v>
      </c>
      <c r="E436" s="2">
        <v>3939.1</v>
      </c>
      <c r="F436" t="s">
        <v>340</v>
      </c>
      <c r="G436" s="3">
        <v>3.8999999999999998E-3</v>
      </c>
    </row>
    <row r="437" spans="1:7" x14ac:dyDescent="0.3">
      <c r="A437" s="1">
        <v>45589</v>
      </c>
      <c r="B437" s="2">
        <v>3928.83</v>
      </c>
      <c r="C437" s="2">
        <v>3950.9</v>
      </c>
      <c r="D437" s="2">
        <v>3957.98</v>
      </c>
      <c r="E437" s="2">
        <v>3914.09</v>
      </c>
      <c r="F437" t="s">
        <v>339</v>
      </c>
      <c r="G437" s="3">
        <v>-1.12E-2</v>
      </c>
    </row>
    <row r="438" spans="1:7" x14ac:dyDescent="0.3">
      <c r="A438" s="1">
        <v>45590</v>
      </c>
      <c r="B438" s="2">
        <v>3956.42</v>
      </c>
      <c r="C438" s="2">
        <v>3931.32</v>
      </c>
      <c r="D438" s="2">
        <v>3992.89</v>
      </c>
      <c r="E438" s="2">
        <v>3921.94</v>
      </c>
      <c r="F438" t="s">
        <v>338</v>
      </c>
      <c r="G438" s="3">
        <v>7.0000000000000001E-3</v>
      </c>
    </row>
    <row r="439" spans="1:7" x14ac:dyDescent="0.3">
      <c r="A439" s="1">
        <v>45593</v>
      </c>
      <c r="B439" s="2">
        <v>3964.16</v>
      </c>
      <c r="C439" s="2">
        <v>3953.11</v>
      </c>
      <c r="D439" s="2">
        <v>3964.16</v>
      </c>
      <c r="E439" s="2">
        <v>3917.2</v>
      </c>
      <c r="F439" t="s">
        <v>337</v>
      </c>
      <c r="G439" s="3">
        <v>2E-3</v>
      </c>
    </row>
    <row r="440" spans="1:7" x14ac:dyDescent="0.3">
      <c r="A440" s="1">
        <v>45594</v>
      </c>
      <c r="B440" s="2">
        <v>3924.65</v>
      </c>
      <c r="C440" s="2">
        <v>3970.01</v>
      </c>
      <c r="D440" s="2">
        <v>3991.31</v>
      </c>
      <c r="E440" s="2">
        <v>3921.58</v>
      </c>
      <c r="F440" t="s">
        <v>336</v>
      </c>
      <c r="G440" s="3">
        <v>-0.01</v>
      </c>
    </row>
    <row r="441" spans="1:7" x14ac:dyDescent="0.3">
      <c r="A441" s="1">
        <v>45595</v>
      </c>
      <c r="B441" s="2">
        <v>3889.45</v>
      </c>
      <c r="C441" s="2">
        <v>3904.16</v>
      </c>
      <c r="D441" s="2">
        <v>3926.06</v>
      </c>
      <c r="E441" s="2">
        <v>3864.31</v>
      </c>
      <c r="F441" t="s">
        <v>335</v>
      </c>
      <c r="G441" s="3">
        <v>-8.9999999999999993E-3</v>
      </c>
    </row>
    <row r="442" spans="1:7" x14ac:dyDescent="0.3">
      <c r="A442" s="1">
        <v>45596</v>
      </c>
      <c r="B442" s="2">
        <v>3891.04</v>
      </c>
      <c r="C442" s="2">
        <v>3888.42</v>
      </c>
      <c r="D442" s="2">
        <v>3923.9</v>
      </c>
      <c r="E442" s="2">
        <v>3859.11</v>
      </c>
      <c r="F442" t="s">
        <v>334</v>
      </c>
      <c r="G442" s="3">
        <v>4.0000000000000002E-4</v>
      </c>
    </row>
    <row r="443" spans="1:7" x14ac:dyDescent="0.3">
      <c r="A443" s="1">
        <v>45597</v>
      </c>
      <c r="B443" s="2">
        <v>3890.02</v>
      </c>
      <c r="C443" s="2">
        <v>3882.46</v>
      </c>
      <c r="D443" s="2">
        <v>3933.22</v>
      </c>
      <c r="E443" s="2">
        <v>3879.96</v>
      </c>
      <c r="F443" t="s">
        <v>333</v>
      </c>
      <c r="G443" s="3">
        <v>-2.9999999999999997E-4</v>
      </c>
    </row>
    <row r="444" spans="1:7" x14ac:dyDescent="0.3">
      <c r="A444" s="1">
        <v>45600</v>
      </c>
      <c r="B444" s="2">
        <v>3944.76</v>
      </c>
      <c r="C444" s="2">
        <v>3897.71</v>
      </c>
      <c r="D444" s="2">
        <v>3944.76</v>
      </c>
      <c r="E444" s="2">
        <v>3891.21</v>
      </c>
      <c r="F444" t="s">
        <v>332</v>
      </c>
      <c r="G444" s="3">
        <v>1.41E-2</v>
      </c>
    </row>
    <row r="445" spans="1:7" x14ac:dyDescent="0.3">
      <c r="A445" s="1">
        <v>45601</v>
      </c>
      <c r="B445" s="2">
        <v>4044.57</v>
      </c>
      <c r="C445" s="2">
        <v>3937.62</v>
      </c>
      <c r="D445" s="2">
        <v>4046.7</v>
      </c>
      <c r="E445" s="2">
        <v>3925.41</v>
      </c>
      <c r="F445" t="s">
        <v>331</v>
      </c>
      <c r="G445" s="3">
        <v>2.53E-2</v>
      </c>
    </row>
    <row r="446" spans="1:7" x14ac:dyDescent="0.3">
      <c r="A446" s="1">
        <v>45602</v>
      </c>
      <c r="B446" s="2">
        <v>4024.28</v>
      </c>
      <c r="C446" s="2">
        <v>4051.29</v>
      </c>
      <c r="D446" s="2">
        <v>4091.7</v>
      </c>
      <c r="E446" s="2">
        <v>4002.5</v>
      </c>
      <c r="F446" t="s">
        <v>330</v>
      </c>
      <c r="G446" s="3">
        <v>-5.0000000000000001E-3</v>
      </c>
    </row>
    <row r="447" spans="1:7" x14ac:dyDescent="0.3">
      <c r="A447" s="1">
        <v>45603</v>
      </c>
      <c r="B447" s="2">
        <v>4145.7</v>
      </c>
      <c r="C447" s="2">
        <v>3987.27</v>
      </c>
      <c r="D447" s="2">
        <v>4146.1499999999996</v>
      </c>
      <c r="E447" s="2">
        <v>3984.67</v>
      </c>
      <c r="F447" t="s">
        <v>329</v>
      </c>
      <c r="G447" s="3">
        <v>3.0200000000000001E-2</v>
      </c>
    </row>
    <row r="448" spans="1:7" x14ac:dyDescent="0.3">
      <c r="A448" s="1">
        <v>45604</v>
      </c>
      <c r="B448" s="2">
        <v>4104.05</v>
      </c>
      <c r="C448" s="2">
        <v>4192.08</v>
      </c>
      <c r="D448" s="2">
        <v>4200.91</v>
      </c>
      <c r="E448" s="2">
        <v>4094.16</v>
      </c>
      <c r="F448" t="s">
        <v>328</v>
      </c>
      <c r="G448" s="3">
        <v>-0.01</v>
      </c>
    </row>
    <row r="449" spans="1:7" x14ac:dyDescent="0.3">
      <c r="A449" s="1">
        <v>45607</v>
      </c>
      <c r="B449" s="2">
        <v>4131.13</v>
      </c>
      <c r="C449" s="2">
        <v>4066.93</v>
      </c>
      <c r="D449" s="2">
        <v>4132.51</v>
      </c>
      <c r="E449" s="2">
        <v>4048.04</v>
      </c>
      <c r="F449" t="s">
        <v>327</v>
      </c>
      <c r="G449" s="3">
        <v>6.6E-3</v>
      </c>
    </row>
    <row r="450" spans="1:7" x14ac:dyDescent="0.3">
      <c r="A450" s="1">
        <v>45608</v>
      </c>
      <c r="B450" s="2">
        <v>4085.74</v>
      </c>
      <c r="C450" s="2">
        <v>4133.3500000000004</v>
      </c>
      <c r="D450" s="2">
        <v>4181.71</v>
      </c>
      <c r="E450" s="2">
        <v>4060.79</v>
      </c>
      <c r="F450" t="s">
        <v>326</v>
      </c>
      <c r="G450" s="3">
        <v>-1.0999999999999999E-2</v>
      </c>
    </row>
    <row r="451" spans="1:7" x14ac:dyDescent="0.3">
      <c r="A451" s="1">
        <v>45609</v>
      </c>
      <c r="B451" s="2">
        <v>4110.8900000000003</v>
      </c>
      <c r="C451" s="2">
        <v>4059.59</v>
      </c>
      <c r="D451" s="2">
        <v>4121.07</v>
      </c>
      <c r="E451" s="2">
        <v>4059.59</v>
      </c>
      <c r="F451" t="s">
        <v>325</v>
      </c>
      <c r="G451" s="3">
        <v>6.1999999999999998E-3</v>
      </c>
    </row>
    <row r="452" spans="1:7" x14ac:dyDescent="0.3">
      <c r="A452" s="1">
        <v>45610</v>
      </c>
      <c r="B452" s="2">
        <v>4039.62</v>
      </c>
      <c r="C452" s="2">
        <v>4101.22</v>
      </c>
      <c r="D452" s="2">
        <v>4118.17</v>
      </c>
      <c r="E452" s="2">
        <v>4034.94</v>
      </c>
      <c r="F452" t="s">
        <v>324</v>
      </c>
      <c r="G452" s="3">
        <v>-1.7299999999999999E-2</v>
      </c>
    </row>
    <row r="453" spans="1:7" x14ac:dyDescent="0.3">
      <c r="A453" s="1">
        <v>45611</v>
      </c>
      <c r="B453" s="2">
        <v>3968.83</v>
      </c>
      <c r="C453" s="2">
        <v>4025.65</v>
      </c>
      <c r="D453" s="2">
        <v>4049.07</v>
      </c>
      <c r="E453" s="2">
        <v>3968.83</v>
      </c>
      <c r="F453" t="s">
        <v>323</v>
      </c>
      <c r="G453" s="3">
        <v>-1.7500000000000002E-2</v>
      </c>
    </row>
    <row r="454" spans="1:7" x14ac:dyDescent="0.3">
      <c r="A454" s="1">
        <v>45614</v>
      </c>
      <c r="B454" s="2">
        <v>3950.38</v>
      </c>
      <c r="C454" s="2">
        <v>3982.1</v>
      </c>
      <c r="D454" s="2">
        <v>4034.06</v>
      </c>
      <c r="E454" s="2">
        <v>3931.19</v>
      </c>
      <c r="F454" t="s">
        <v>322</v>
      </c>
      <c r="G454" s="3">
        <v>-4.5999999999999999E-3</v>
      </c>
    </row>
    <row r="455" spans="1:7" x14ac:dyDescent="0.3">
      <c r="A455" s="1">
        <v>45615</v>
      </c>
      <c r="B455" s="2">
        <v>3976.89</v>
      </c>
      <c r="C455" s="2">
        <v>3954.6</v>
      </c>
      <c r="D455" s="2">
        <v>3979.15</v>
      </c>
      <c r="E455" s="2">
        <v>3896.75</v>
      </c>
      <c r="F455" t="s">
        <v>321</v>
      </c>
      <c r="G455" s="3">
        <v>6.7000000000000002E-3</v>
      </c>
    </row>
    <row r="456" spans="1:7" x14ac:dyDescent="0.3">
      <c r="A456" s="1">
        <v>45616</v>
      </c>
      <c r="B456" s="2">
        <v>3985.77</v>
      </c>
      <c r="C456" s="2">
        <v>3966.12</v>
      </c>
      <c r="D456" s="2">
        <v>4001.08</v>
      </c>
      <c r="E456" s="2">
        <v>3958.34</v>
      </c>
      <c r="F456" t="s">
        <v>320</v>
      </c>
      <c r="G456" s="3">
        <v>2.2000000000000001E-3</v>
      </c>
    </row>
    <row r="457" spans="1:7" x14ac:dyDescent="0.3">
      <c r="A457" s="1">
        <v>45617</v>
      </c>
      <c r="B457" s="2">
        <v>3989.3</v>
      </c>
      <c r="C457" s="2">
        <v>3979.46</v>
      </c>
      <c r="D457" s="2">
        <v>3999.57</v>
      </c>
      <c r="E457" s="2">
        <v>3966.07</v>
      </c>
      <c r="F457" t="s">
        <v>319</v>
      </c>
      <c r="G457" s="3">
        <v>8.9999999999999998E-4</v>
      </c>
    </row>
    <row r="458" spans="1:7" x14ac:dyDescent="0.3">
      <c r="A458" s="1">
        <v>45618</v>
      </c>
      <c r="B458" s="2">
        <v>3865.7</v>
      </c>
      <c r="C458" s="2">
        <v>3984.24</v>
      </c>
      <c r="D458" s="2">
        <v>3990.26</v>
      </c>
      <c r="E458" s="2">
        <v>3865.7</v>
      </c>
      <c r="F458" t="s">
        <v>318</v>
      </c>
      <c r="G458" s="3">
        <v>-3.1E-2</v>
      </c>
    </row>
    <row r="459" spans="1:7" x14ac:dyDescent="0.3">
      <c r="A459" s="1">
        <v>45621</v>
      </c>
      <c r="B459" s="2">
        <v>3848.09</v>
      </c>
      <c r="C459" s="2">
        <v>3875.61</v>
      </c>
      <c r="D459" s="2">
        <v>3889.71</v>
      </c>
      <c r="E459" s="2">
        <v>3812.32</v>
      </c>
      <c r="F459" t="s">
        <v>317</v>
      </c>
      <c r="G459" s="3">
        <v>-4.5999999999999999E-3</v>
      </c>
    </row>
    <row r="460" spans="1:7" x14ac:dyDescent="0.3">
      <c r="A460" s="1">
        <v>45622</v>
      </c>
      <c r="B460" s="2">
        <v>3840.18</v>
      </c>
      <c r="C460" s="2">
        <v>3836.26</v>
      </c>
      <c r="D460" s="2">
        <v>3875.23</v>
      </c>
      <c r="E460" s="2">
        <v>3833.28</v>
      </c>
      <c r="F460" t="s">
        <v>316</v>
      </c>
      <c r="G460" s="3">
        <v>-2.0999999999999999E-3</v>
      </c>
    </row>
    <row r="461" spans="1:7" x14ac:dyDescent="0.3">
      <c r="A461" s="1">
        <v>45623</v>
      </c>
      <c r="B461" s="2">
        <v>3907.04</v>
      </c>
      <c r="C461" s="2">
        <v>3829.34</v>
      </c>
      <c r="D461" s="2">
        <v>3907.16</v>
      </c>
      <c r="E461" s="2">
        <v>3817.91</v>
      </c>
      <c r="F461" t="s">
        <v>315</v>
      </c>
      <c r="G461" s="3">
        <v>1.7399999999999999E-2</v>
      </c>
    </row>
    <row r="462" spans="1:7" x14ac:dyDescent="0.3">
      <c r="A462" s="1">
        <v>45624</v>
      </c>
      <c r="B462" s="2">
        <v>3872.55</v>
      </c>
      <c r="C462" s="2">
        <v>3904.25</v>
      </c>
      <c r="D462" s="2">
        <v>3908.39</v>
      </c>
      <c r="E462" s="2">
        <v>3866.01</v>
      </c>
      <c r="F462" t="s">
        <v>314</v>
      </c>
      <c r="G462" s="3">
        <v>-8.8000000000000005E-3</v>
      </c>
    </row>
    <row r="463" spans="1:7" x14ac:dyDescent="0.3">
      <c r="A463" s="1">
        <v>45625</v>
      </c>
      <c r="B463" s="2">
        <v>3916.58</v>
      </c>
      <c r="C463" s="2">
        <v>3869.89</v>
      </c>
      <c r="D463" s="2">
        <v>3962.7</v>
      </c>
      <c r="E463" s="2">
        <v>3869.89</v>
      </c>
      <c r="F463" t="s">
        <v>313</v>
      </c>
      <c r="G463" s="3">
        <v>1.14E-2</v>
      </c>
    </row>
    <row r="464" spans="1:7" x14ac:dyDescent="0.3">
      <c r="A464" s="1">
        <v>45628</v>
      </c>
      <c r="B464" s="2">
        <v>3947.63</v>
      </c>
      <c r="C464" s="2">
        <v>3909.7</v>
      </c>
      <c r="D464" s="2">
        <v>3955.13</v>
      </c>
      <c r="E464" s="2">
        <v>3902.17</v>
      </c>
      <c r="F464" t="s">
        <v>312</v>
      </c>
      <c r="G464" s="3">
        <v>7.9000000000000008E-3</v>
      </c>
    </row>
    <row r="465" spans="1:7" x14ac:dyDescent="0.3">
      <c r="A465" s="1">
        <v>45629</v>
      </c>
      <c r="B465" s="2">
        <v>3951.89</v>
      </c>
      <c r="C465" s="2">
        <v>3946.7</v>
      </c>
      <c r="D465" s="2">
        <v>3963.95</v>
      </c>
      <c r="E465" s="2">
        <v>3922.84</v>
      </c>
      <c r="F465" t="s">
        <v>311</v>
      </c>
      <c r="G465" s="3">
        <v>1.1000000000000001E-3</v>
      </c>
    </row>
    <row r="466" spans="1:7" x14ac:dyDescent="0.3">
      <c r="A466" s="1">
        <v>45630</v>
      </c>
      <c r="B466" s="2">
        <v>3930.56</v>
      </c>
      <c r="C466" s="2">
        <v>3948.13</v>
      </c>
      <c r="D466" s="2">
        <v>3957.36</v>
      </c>
      <c r="E466" s="2">
        <v>3917.75</v>
      </c>
      <c r="F466" t="s">
        <v>310</v>
      </c>
      <c r="G466" s="3">
        <v>-5.4000000000000003E-3</v>
      </c>
    </row>
    <row r="467" spans="1:7" x14ac:dyDescent="0.3">
      <c r="A467" s="1">
        <v>45631</v>
      </c>
      <c r="B467" s="2">
        <v>3921.59</v>
      </c>
      <c r="C467" s="2">
        <v>3916.56</v>
      </c>
      <c r="D467" s="2">
        <v>3936.34</v>
      </c>
      <c r="E467" s="2">
        <v>3910.08</v>
      </c>
      <c r="F467" t="s">
        <v>309</v>
      </c>
      <c r="G467" s="3">
        <v>-2.3E-3</v>
      </c>
    </row>
    <row r="468" spans="1:7" x14ac:dyDescent="0.3">
      <c r="A468" s="1">
        <v>45632</v>
      </c>
      <c r="B468" s="2">
        <v>3973.14</v>
      </c>
      <c r="C468" s="2">
        <v>3923.9</v>
      </c>
      <c r="D468" s="2">
        <v>3995.12</v>
      </c>
      <c r="E468" s="2">
        <v>3923.9</v>
      </c>
      <c r="F468" t="s">
        <v>308</v>
      </c>
      <c r="G468" s="3">
        <v>1.3100000000000001E-2</v>
      </c>
    </row>
    <row r="469" spans="1:7" x14ac:dyDescent="0.3">
      <c r="A469" s="1">
        <v>45635</v>
      </c>
      <c r="B469" s="2">
        <v>3966.57</v>
      </c>
      <c r="C469" s="2">
        <v>3970.66</v>
      </c>
      <c r="D469" s="2">
        <v>3995.51</v>
      </c>
      <c r="E469" s="2">
        <v>3948.42</v>
      </c>
      <c r="F469" t="s">
        <v>307</v>
      </c>
      <c r="G469" s="3">
        <v>-1.6999999999999999E-3</v>
      </c>
    </row>
    <row r="470" spans="1:7" x14ac:dyDescent="0.3">
      <c r="A470" s="1">
        <v>45636</v>
      </c>
      <c r="B470" s="2">
        <v>3995.64</v>
      </c>
      <c r="C470" s="2">
        <v>4094.05</v>
      </c>
      <c r="D470" s="2">
        <v>4098.38</v>
      </c>
      <c r="E470" s="2">
        <v>3988.97</v>
      </c>
      <c r="F470" t="s">
        <v>306</v>
      </c>
      <c r="G470" s="3">
        <v>7.3000000000000001E-3</v>
      </c>
    </row>
    <row r="471" spans="1:7" x14ac:dyDescent="0.3">
      <c r="A471" s="1">
        <v>45637</v>
      </c>
      <c r="B471" s="2">
        <v>3988.83</v>
      </c>
      <c r="C471" s="2">
        <v>3988.02</v>
      </c>
      <c r="D471" s="2">
        <v>4005.33</v>
      </c>
      <c r="E471" s="2">
        <v>3977.35</v>
      </c>
      <c r="F471" t="s">
        <v>305</v>
      </c>
      <c r="G471" s="3">
        <v>-1.6999999999999999E-3</v>
      </c>
    </row>
    <row r="472" spans="1:7" x14ac:dyDescent="0.3">
      <c r="A472" s="1">
        <v>45638</v>
      </c>
      <c r="B472" s="2">
        <v>4028.5</v>
      </c>
      <c r="C472" s="2">
        <v>3987.15</v>
      </c>
      <c r="D472" s="2">
        <v>4031.74</v>
      </c>
      <c r="E472" s="2">
        <v>3981.35</v>
      </c>
      <c r="F472" t="s">
        <v>304</v>
      </c>
      <c r="G472" s="3">
        <v>9.9000000000000008E-3</v>
      </c>
    </row>
    <row r="473" spans="1:7" x14ac:dyDescent="0.3">
      <c r="A473" s="1">
        <v>45639</v>
      </c>
      <c r="B473" s="2">
        <v>3933.18</v>
      </c>
      <c r="C473" s="2">
        <v>4000.99</v>
      </c>
      <c r="D473" s="2">
        <v>4000.99</v>
      </c>
      <c r="E473" s="2">
        <v>3931.74</v>
      </c>
      <c r="F473" t="s">
        <v>303</v>
      </c>
      <c r="G473" s="3">
        <v>-2.3699999999999999E-2</v>
      </c>
    </row>
    <row r="474" spans="1:7" x14ac:dyDescent="0.3">
      <c r="A474" s="1">
        <v>45642</v>
      </c>
      <c r="B474" s="2">
        <v>3911.84</v>
      </c>
      <c r="C474" s="2">
        <v>3930.78</v>
      </c>
      <c r="D474" s="2">
        <v>3938.76</v>
      </c>
      <c r="E474" s="2">
        <v>3901.65</v>
      </c>
      <c r="F474" t="s">
        <v>302</v>
      </c>
      <c r="G474" s="3">
        <v>-5.4000000000000003E-3</v>
      </c>
    </row>
    <row r="475" spans="1:7" x14ac:dyDescent="0.3">
      <c r="A475" s="1">
        <v>45643</v>
      </c>
      <c r="B475" s="2">
        <v>3922.03</v>
      </c>
      <c r="C475" s="2">
        <v>3908.13</v>
      </c>
      <c r="D475" s="2">
        <v>3955.95</v>
      </c>
      <c r="E475" s="2">
        <v>3908.13</v>
      </c>
      <c r="F475" t="s">
        <v>301</v>
      </c>
      <c r="G475" s="3">
        <v>2.5999999999999999E-3</v>
      </c>
    </row>
    <row r="476" spans="1:7" x14ac:dyDescent="0.3">
      <c r="A476" s="1">
        <v>45644</v>
      </c>
      <c r="B476" s="2">
        <v>3941.89</v>
      </c>
      <c r="C476" s="2">
        <v>3934.54</v>
      </c>
      <c r="D476" s="2">
        <v>3956.14</v>
      </c>
      <c r="E476" s="2">
        <v>3933.97</v>
      </c>
      <c r="F476" t="s">
        <v>300</v>
      </c>
      <c r="G476" s="3">
        <v>5.1000000000000004E-3</v>
      </c>
    </row>
    <row r="477" spans="1:7" x14ac:dyDescent="0.3">
      <c r="A477" s="1">
        <v>45645</v>
      </c>
      <c r="B477" s="2">
        <v>3945.46</v>
      </c>
      <c r="C477" s="2">
        <v>3911.89</v>
      </c>
      <c r="D477" s="2">
        <v>3954.35</v>
      </c>
      <c r="E477" s="2">
        <v>3899.75</v>
      </c>
      <c r="F477" t="s">
        <v>299</v>
      </c>
      <c r="G477" s="3">
        <v>8.9999999999999998E-4</v>
      </c>
    </row>
    <row r="478" spans="1:7" x14ac:dyDescent="0.3">
      <c r="A478" s="1">
        <v>45646</v>
      </c>
      <c r="B478" s="2">
        <v>3927.74</v>
      </c>
      <c r="C478" s="2">
        <v>3937.47</v>
      </c>
      <c r="D478" s="2">
        <v>3958.63</v>
      </c>
      <c r="E478" s="2">
        <v>3923.26</v>
      </c>
      <c r="F478" t="s">
        <v>298</v>
      </c>
      <c r="G478" s="3">
        <v>-4.4999999999999997E-3</v>
      </c>
    </row>
    <row r="479" spans="1:7" x14ac:dyDescent="0.3">
      <c r="A479" s="1">
        <v>45649</v>
      </c>
      <c r="B479" s="2">
        <v>3933.57</v>
      </c>
      <c r="C479" s="2">
        <v>3928.15</v>
      </c>
      <c r="D479" s="2">
        <v>3965.85</v>
      </c>
      <c r="E479" s="2">
        <v>3928.15</v>
      </c>
      <c r="F479" t="s">
        <v>297</v>
      </c>
      <c r="G479" s="3">
        <v>1.5E-3</v>
      </c>
    </row>
    <row r="480" spans="1:7" x14ac:dyDescent="0.3">
      <c r="A480" s="1">
        <v>45650</v>
      </c>
      <c r="B480" s="2">
        <v>3983.69</v>
      </c>
      <c r="C480" s="2">
        <v>3934.94</v>
      </c>
      <c r="D480" s="2">
        <v>3985.86</v>
      </c>
      <c r="E480" s="2">
        <v>3934.73</v>
      </c>
      <c r="F480" t="s">
        <v>296</v>
      </c>
      <c r="G480" s="3">
        <v>1.2699999999999999E-2</v>
      </c>
    </row>
    <row r="481" spans="1:7" x14ac:dyDescent="0.3">
      <c r="A481" s="1">
        <v>45651</v>
      </c>
      <c r="B481" s="2">
        <v>3985.63</v>
      </c>
      <c r="C481" s="2">
        <v>3987.96</v>
      </c>
      <c r="D481" s="2">
        <v>4007.76</v>
      </c>
      <c r="E481" s="2">
        <v>3969.48</v>
      </c>
      <c r="F481" t="s">
        <v>295</v>
      </c>
      <c r="G481" s="3">
        <v>5.0000000000000001E-4</v>
      </c>
    </row>
    <row r="482" spans="1:7" x14ac:dyDescent="0.3">
      <c r="A482" s="1">
        <v>45652</v>
      </c>
      <c r="B482" s="2">
        <v>3987.48</v>
      </c>
      <c r="C482" s="2">
        <v>3981.73</v>
      </c>
      <c r="D482" s="2">
        <v>3991.53</v>
      </c>
      <c r="E482" s="2">
        <v>3965.55</v>
      </c>
      <c r="F482" t="s">
        <v>294</v>
      </c>
      <c r="G482" s="3">
        <v>5.0000000000000001E-4</v>
      </c>
    </row>
    <row r="483" spans="1:7" x14ac:dyDescent="0.3">
      <c r="A483" s="1">
        <v>45653</v>
      </c>
      <c r="B483" s="2">
        <v>3981.03</v>
      </c>
      <c r="C483" s="2">
        <v>3987.02</v>
      </c>
      <c r="D483" s="2">
        <v>4007.13</v>
      </c>
      <c r="E483" s="2">
        <v>3970.94</v>
      </c>
      <c r="F483" t="s">
        <v>293</v>
      </c>
      <c r="G483" s="3">
        <v>-1.6000000000000001E-3</v>
      </c>
    </row>
    <row r="484" spans="1:7" x14ac:dyDescent="0.3">
      <c r="A484" s="1">
        <v>45656</v>
      </c>
      <c r="B484" s="2">
        <v>3999.05</v>
      </c>
      <c r="C484" s="2">
        <v>3976.7</v>
      </c>
      <c r="D484" s="2">
        <v>4005.78</v>
      </c>
      <c r="E484" s="2">
        <v>3976.7</v>
      </c>
      <c r="F484" t="s">
        <v>292</v>
      </c>
      <c r="G484" s="3">
        <v>4.4999999999999997E-3</v>
      </c>
    </row>
    <row r="485" spans="1:7" x14ac:dyDescent="0.3">
      <c r="A485" s="1">
        <v>45657</v>
      </c>
      <c r="B485" s="2">
        <v>3934.91</v>
      </c>
      <c r="C485" s="2">
        <v>3995.87</v>
      </c>
      <c r="D485" s="2">
        <v>4004.35</v>
      </c>
      <c r="E485" s="2">
        <v>3934.91</v>
      </c>
      <c r="F485" t="s">
        <v>291</v>
      </c>
      <c r="G485" s="3">
        <v>-1.6E-2</v>
      </c>
    </row>
    <row r="486" spans="1:7" x14ac:dyDescent="0.3">
      <c r="A486" s="1">
        <v>45659</v>
      </c>
      <c r="B486" s="2">
        <v>3820.4</v>
      </c>
      <c r="C486" s="2">
        <v>3931.82</v>
      </c>
      <c r="D486" s="2">
        <v>3934.2</v>
      </c>
      <c r="E486" s="2">
        <v>3796.34</v>
      </c>
      <c r="F486" t="s">
        <v>290</v>
      </c>
      <c r="G486" s="3">
        <v>-2.9100000000000001E-2</v>
      </c>
    </row>
    <row r="487" spans="1:7" x14ac:dyDescent="0.3">
      <c r="A487" s="1">
        <v>45660</v>
      </c>
      <c r="B487" s="2">
        <v>3775.16</v>
      </c>
      <c r="C487" s="2">
        <v>3825.24</v>
      </c>
      <c r="D487" s="2">
        <v>3835.94</v>
      </c>
      <c r="E487" s="2">
        <v>3767.67</v>
      </c>
      <c r="F487" t="s">
        <v>289</v>
      </c>
      <c r="G487" s="3">
        <v>-1.18E-2</v>
      </c>
    </row>
    <row r="488" spans="1:7" x14ac:dyDescent="0.3">
      <c r="A488" s="1">
        <v>45663</v>
      </c>
      <c r="B488" s="2">
        <v>3768.97</v>
      </c>
      <c r="C488" s="2">
        <v>3775.99</v>
      </c>
      <c r="D488" s="2">
        <v>3788.85</v>
      </c>
      <c r="E488" s="2">
        <v>3743.07</v>
      </c>
      <c r="F488" t="s">
        <v>288</v>
      </c>
      <c r="G488" s="3">
        <v>-1.6000000000000001E-3</v>
      </c>
    </row>
    <row r="489" spans="1:7" x14ac:dyDescent="0.3">
      <c r="A489" s="1">
        <v>45664</v>
      </c>
      <c r="B489" s="2">
        <v>3796.11</v>
      </c>
      <c r="C489" s="2">
        <v>3760.87</v>
      </c>
      <c r="D489" s="2">
        <v>3797.6</v>
      </c>
      <c r="E489" s="2">
        <v>3749.06</v>
      </c>
      <c r="F489" t="s">
        <v>287</v>
      </c>
      <c r="G489" s="3">
        <v>7.1999999999999998E-3</v>
      </c>
    </row>
    <row r="490" spans="1:7" x14ac:dyDescent="0.3">
      <c r="A490" s="1">
        <v>45665</v>
      </c>
      <c r="B490" s="2">
        <v>3789.22</v>
      </c>
      <c r="C490" s="2">
        <v>3781.26</v>
      </c>
      <c r="D490" s="2">
        <v>3810.74</v>
      </c>
      <c r="E490" s="2">
        <v>3731.19</v>
      </c>
      <c r="F490" t="s">
        <v>286</v>
      </c>
      <c r="G490" s="3">
        <v>-1.8E-3</v>
      </c>
    </row>
    <row r="491" spans="1:7" x14ac:dyDescent="0.3">
      <c r="A491" s="1">
        <v>45666</v>
      </c>
      <c r="B491" s="2">
        <v>3779.88</v>
      </c>
      <c r="C491" s="2">
        <v>3780.73</v>
      </c>
      <c r="D491" s="2">
        <v>3795.26</v>
      </c>
      <c r="E491" s="2">
        <v>3768.68</v>
      </c>
      <c r="F491" t="s">
        <v>285</v>
      </c>
      <c r="G491" s="3">
        <v>-2.5000000000000001E-3</v>
      </c>
    </row>
    <row r="492" spans="1:7" x14ac:dyDescent="0.3">
      <c r="A492" s="1">
        <v>45667</v>
      </c>
      <c r="B492" s="2">
        <v>3732.48</v>
      </c>
      <c r="C492" s="2">
        <v>3778.89</v>
      </c>
      <c r="D492" s="2">
        <v>3786.81</v>
      </c>
      <c r="E492" s="2">
        <v>3732.48</v>
      </c>
      <c r="F492" t="s">
        <v>284</v>
      </c>
      <c r="G492" s="3">
        <v>-1.2500000000000001E-2</v>
      </c>
    </row>
    <row r="493" spans="1:7" x14ac:dyDescent="0.3">
      <c r="A493" s="1">
        <v>45670</v>
      </c>
      <c r="B493" s="2">
        <v>3722.51</v>
      </c>
      <c r="C493" s="2">
        <v>3704.44</v>
      </c>
      <c r="D493" s="2">
        <v>3737.89</v>
      </c>
      <c r="E493" s="2">
        <v>3704.11</v>
      </c>
      <c r="F493" t="s">
        <v>283</v>
      </c>
      <c r="G493" s="3">
        <v>-2.7000000000000001E-3</v>
      </c>
    </row>
    <row r="494" spans="1:7" x14ac:dyDescent="0.3">
      <c r="A494" s="1">
        <v>45671</v>
      </c>
      <c r="B494" s="2">
        <v>3820.54</v>
      </c>
      <c r="C494" s="2">
        <v>3728.56</v>
      </c>
      <c r="D494" s="2">
        <v>3826.64</v>
      </c>
      <c r="E494" s="2">
        <v>3718.88</v>
      </c>
      <c r="F494" t="s">
        <v>282</v>
      </c>
      <c r="G494" s="3">
        <v>2.63E-2</v>
      </c>
    </row>
    <row r="495" spans="1:7" x14ac:dyDescent="0.3">
      <c r="A495" s="1">
        <v>45672</v>
      </c>
      <c r="B495" s="2">
        <v>3796.03</v>
      </c>
      <c r="C495" s="2">
        <v>3810.04</v>
      </c>
      <c r="D495" s="2">
        <v>3816.83</v>
      </c>
      <c r="E495" s="2">
        <v>3790.17</v>
      </c>
      <c r="F495" t="s">
        <v>281</v>
      </c>
      <c r="G495" s="3">
        <v>-6.4000000000000003E-3</v>
      </c>
    </row>
    <row r="496" spans="1:7" x14ac:dyDescent="0.3">
      <c r="A496" s="1">
        <v>45673</v>
      </c>
      <c r="B496" s="2">
        <v>3800.38</v>
      </c>
      <c r="C496" s="2">
        <v>3812.19</v>
      </c>
      <c r="D496" s="2">
        <v>3842.95</v>
      </c>
      <c r="E496" s="2">
        <v>3776.29</v>
      </c>
      <c r="F496" t="s">
        <v>280</v>
      </c>
      <c r="G496" s="3">
        <v>1.1000000000000001E-3</v>
      </c>
    </row>
    <row r="497" spans="1:7" x14ac:dyDescent="0.3">
      <c r="A497" s="1">
        <v>45674</v>
      </c>
      <c r="B497" s="2">
        <v>3812.34</v>
      </c>
      <c r="C497" s="2">
        <v>3788.37</v>
      </c>
      <c r="D497" s="2">
        <v>3831.64</v>
      </c>
      <c r="E497" s="2">
        <v>3780.21</v>
      </c>
      <c r="F497" t="s">
        <v>279</v>
      </c>
      <c r="G497" s="3">
        <v>3.0999999999999999E-3</v>
      </c>
    </row>
    <row r="498" spans="1:7" x14ac:dyDescent="0.3">
      <c r="A498" s="1">
        <v>45677</v>
      </c>
      <c r="B498" s="2">
        <v>3829.68</v>
      </c>
      <c r="C498" s="2">
        <v>3835.3</v>
      </c>
      <c r="D498" s="2">
        <v>3858.67</v>
      </c>
      <c r="E498" s="2">
        <v>3821.98</v>
      </c>
      <c r="F498" t="s">
        <v>278</v>
      </c>
      <c r="G498" s="3">
        <v>4.4999999999999997E-3</v>
      </c>
    </row>
    <row r="499" spans="1:7" x14ac:dyDescent="0.3">
      <c r="A499" s="1">
        <v>45678</v>
      </c>
      <c r="B499" s="2">
        <v>3832.61</v>
      </c>
      <c r="C499" s="2">
        <v>3850.36</v>
      </c>
      <c r="D499" s="2">
        <v>3850.91</v>
      </c>
      <c r="E499" s="2">
        <v>3817.12</v>
      </c>
      <c r="F499" t="s">
        <v>277</v>
      </c>
      <c r="G499" s="3">
        <v>8.0000000000000004E-4</v>
      </c>
    </row>
    <row r="500" spans="1:7" x14ac:dyDescent="0.3">
      <c r="A500" s="1">
        <v>45679</v>
      </c>
      <c r="B500" s="2">
        <v>3797.02</v>
      </c>
      <c r="C500" s="2">
        <v>3823.94</v>
      </c>
      <c r="D500" s="2">
        <v>3823.94</v>
      </c>
      <c r="E500" s="2">
        <v>3783.14</v>
      </c>
      <c r="F500" t="s">
        <v>276</v>
      </c>
      <c r="G500" s="3">
        <v>-9.2999999999999992E-3</v>
      </c>
    </row>
    <row r="501" spans="1:7" x14ac:dyDescent="0.3">
      <c r="A501" s="1">
        <v>45680</v>
      </c>
      <c r="B501" s="2">
        <v>3803.74</v>
      </c>
      <c r="C501" s="2">
        <v>3829.05</v>
      </c>
      <c r="D501" s="2">
        <v>3864.26</v>
      </c>
      <c r="E501" s="2">
        <v>3801.85</v>
      </c>
      <c r="F501" t="s">
        <v>275</v>
      </c>
      <c r="G501" s="3">
        <v>1.8E-3</v>
      </c>
    </row>
    <row r="502" spans="1:7" x14ac:dyDescent="0.3">
      <c r="A502" s="1">
        <v>45681</v>
      </c>
      <c r="B502" s="2">
        <v>3832.86</v>
      </c>
      <c r="C502" s="2">
        <v>3793.85</v>
      </c>
      <c r="D502" s="2">
        <v>3847.6</v>
      </c>
      <c r="E502" s="2">
        <v>3793.48</v>
      </c>
      <c r="F502" t="s">
        <v>274</v>
      </c>
      <c r="G502" s="3">
        <v>7.7000000000000002E-3</v>
      </c>
    </row>
    <row r="503" spans="1:7" x14ac:dyDescent="0.3">
      <c r="A503" s="1">
        <v>45684</v>
      </c>
      <c r="B503" s="2">
        <v>3817.08</v>
      </c>
      <c r="C503" s="2">
        <v>3836.96</v>
      </c>
      <c r="D503" s="2">
        <v>3852</v>
      </c>
      <c r="E503" s="2">
        <v>3817.08</v>
      </c>
      <c r="F503" t="s">
        <v>273</v>
      </c>
      <c r="G503" s="3">
        <v>-4.1000000000000003E-3</v>
      </c>
    </row>
    <row r="504" spans="1:7" x14ac:dyDescent="0.3">
      <c r="A504" s="1">
        <v>45693</v>
      </c>
      <c r="B504" s="2">
        <v>3795.08</v>
      </c>
      <c r="C504" s="2">
        <v>3844.7</v>
      </c>
      <c r="D504" s="2">
        <v>3844.7</v>
      </c>
      <c r="E504" s="2">
        <v>3785.16</v>
      </c>
      <c r="F504" t="s">
        <v>272</v>
      </c>
      <c r="G504" s="3">
        <v>-5.7999999999999996E-3</v>
      </c>
    </row>
    <row r="505" spans="1:7" x14ac:dyDescent="0.3">
      <c r="A505" s="1">
        <v>45694</v>
      </c>
      <c r="B505" s="2">
        <v>3842.83</v>
      </c>
      <c r="C505" s="2">
        <v>3789.61</v>
      </c>
      <c r="D505" s="2">
        <v>3843.49</v>
      </c>
      <c r="E505" s="2">
        <v>3788.32</v>
      </c>
      <c r="F505" t="s">
        <v>271</v>
      </c>
      <c r="G505" s="3">
        <v>1.26E-2</v>
      </c>
    </row>
    <row r="506" spans="1:7" x14ac:dyDescent="0.3">
      <c r="A506" s="1">
        <v>45695</v>
      </c>
      <c r="B506" s="2">
        <v>3892.7</v>
      </c>
      <c r="C506" s="2">
        <v>3844.06</v>
      </c>
      <c r="D506" s="2">
        <v>3919.35</v>
      </c>
      <c r="E506" s="2">
        <v>3833.87</v>
      </c>
      <c r="F506" t="s">
        <v>270</v>
      </c>
      <c r="G506" s="3">
        <v>1.2999999999999999E-2</v>
      </c>
    </row>
    <row r="507" spans="1:7" x14ac:dyDescent="0.3">
      <c r="A507" s="1">
        <v>45698</v>
      </c>
      <c r="B507" s="2">
        <v>3901.06</v>
      </c>
      <c r="C507" s="2">
        <v>3898.1</v>
      </c>
      <c r="D507" s="2">
        <v>3906.37</v>
      </c>
      <c r="E507" s="2">
        <v>3878.83</v>
      </c>
      <c r="F507" t="s">
        <v>269</v>
      </c>
      <c r="G507" s="3">
        <v>2.0999999999999999E-3</v>
      </c>
    </row>
    <row r="508" spans="1:7" x14ac:dyDescent="0.3">
      <c r="A508" s="1">
        <v>45699</v>
      </c>
      <c r="B508" s="2">
        <v>3883.14</v>
      </c>
      <c r="C508" s="2">
        <v>3905.16</v>
      </c>
      <c r="D508" s="2">
        <v>3905.16</v>
      </c>
      <c r="E508" s="2">
        <v>3872.91</v>
      </c>
      <c r="F508" t="s">
        <v>268</v>
      </c>
      <c r="G508" s="3">
        <v>-4.5999999999999999E-3</v>
      </c>
    </row>
    <row r="509" spans="1:7" x14ac:dyDescent="0.3">
      <c r="A509" s="1">
        <v>45700</v>
      </c>
      <c r="B509" s="2">
        <v>3919.86</v>
      </c>
      <c r="C509" s="2">
        <v>3875.96</v>
      </c>
      <c r="D509" s="2">
        <v>3920.72</v>
      </c>
      <c r="E509" s="2">
        <v>3867.35</v>
      </c>
      <c r="F509" t="s">
        <v>267</v>
      </c>
      <c r="G509" s="3">
        <v>9.4999999999999998E-3</v>
      </c>
    </row>
    <row r="510" spans="1:7" x14ac:dyDescent="0.3">
      <c r="A510" s="1">
        <v>45701</v>
      </c>
      <c r="B510" s="2">
        <v>3905.14</v>
      </c>
      <c r="C510" s="2">
        <v>3913.9</v>
      </c>
      <c r="D510" s="2">
        <v>3939.2</v>
      </c>
      <c r="E510" s="2">
        <v>3904.98</v>
      </c>
      <c r="F510" t="s">
        <v>266</v>
      </c>
      <c r="G510" s="3">
        <v>-3.8E-3</v>
      </c>
    </row>
    <row r="511" spans="1:7" x14ac:dyDescent="0.3">
      <c r="A511" s="1">
        <v>45702</v>
      </c>
      <c r="B511" s="2">
        <v>3939.01</v>
      </c>
      <c r="C511" s="2">
        <v>3900.83</v>
      </c>
      <c r="D511" s="2">
        <v>3942.04</v>
      </c>
      <c r="E511" s="2">
        <v>3900.83</v>
      </c>
      <c r="F511" t="s">
        <v>265</v>
      </c>
      <c r="G511" s="3">
        <v>8.6999999999999994E-3</v>
      </c>
    </row>
    <row r="512" spans="1:7" x14ac:dyDescent="0.3">
      <c r="A512" s="1">
        <v>45705</v>
      </c>
      <c r="B512" s="2">
        <v>3947.4</v>
      </c>
      <c r="C512" s="2">
        <v>3954.41</v>
      </c>
      <c r="D512" s="2">
        <v>3955.9</v>
      </c>
      <c r="E512" s="2">
        <v>3921.7</v>
      </c>
      <c r="F512" t="s">
        <v>264</v>
      </c>
      <c r="G512" s="3">
        <v>2.0999999999999999E-3</v>
      </c>
    </row>
    <row r="513" spans="1:7" x14ac:dyDescent="0.3">
      <c r="A513" s="1">
        <v>45706</v>
      </c>
      <c r="B513" s="2">
        <v>3912.78</v>
      </c>
      <c r="C513" s="2">
        <v>3942.58</v>
      </c>
      <c r="D513" s="2">
        <v>3965.42</v>
      </c>
      <c r="E513" s="2">
        <v>3901.87</v>
      </c>
      <c r="F513" t="s">
        <v>263</v>
      </c>
      <c r="G513" s="3">
        <v>-8.8000000000000005E-3</v>
      </c>
    </row>
    <row r="514" spans="1:7" x14ac:dyDescent="0.3">
      <c r="A514" s="1">
        <v>45707</v>
      </c>
      <c r="B514" s="2">
        <v>3940.16</v>
      </c>
      <c r="C514" s="2">
        <v>3906.22</v>
      </c>
      <c r="D514" s="2">
        <v>3943.67</v>
      </c>
      <c r="E514" s="2">
        <v>3904.15</v>
      </c>
      <c r="F514" t="s">
        <v>262</v>
      </c>
      <c r="G514" s="3">
        <v>7.0000000000000001E-3</v>
      </c>
    </row>
    <row r="515" spans="1:7" x14ac:dyDescent="0.3">
      <c r="A515" s="1">
        <v>45708</v>
      </c>
      <c r="B515" s="2">
        <v>3928.9</v>
      </c>
      <c r="C515" s="2">
        <v>3934.65</v>
      </c>
      <c r="D515" s="2">
        <v>3940.68</v>
      </c>
      <c r="E515" s="2">
        <v>3916.18</v>
      </c>
      <c r="F515" t="s">
        <v>261</v>
      </c>
      <c r="G515" s="3">
        <v>-2.8999999999999998E-3</v>
      </c>
    </row>
    <row r="516" spans="1:7" x14ac:dyDescent="0.3">
      <c r="A516" s="1">
        <v>45709</v>
      </c>
      <c r="B516" s="2">
        <v>3978.44</v>
      </c>
      <c r="C516" s="2">
        <v>3938.05</v>
      </c>
      <c r="D516" s="2">
        <v>3981.05</v>
      </c>
      <c r="E516" s="2">
        <v>3927.79</v>
      </c>
      <c r="F516" t="s">
        <v>260</v>
      </c>
      <c r="G516" s="3">
        <v>1.26E-2</v>
      </c>
    </row>
    <row r="517" spans="1:7" x14ac:dyDescent="0.3">
      <c r="A517" s="1">
        <v>45712</v>
      </c>
      <c r="B517" s="2">
        <v>3969.72</v>
      </c>
      <c r="C517" s="2">
        <v>3972.48</v>
      </c>
      <c r="D517" s="2">
        <v>3995.95</v>
      </c>
      <c r="E517" s="2">
        <v>3949.23</v>
      </c>
      <c r="F517" t="s">
        <v>259</v>
      </c>
      <c r="G517" s="3">
        <v>-2.2000000000000001E-3</v>
      </c>
    </row>
    <row r="518" spans="1:7" x14ac:dyDescent="0.3">
      <c r="A518" s="1">
        <v>45713</v>
      </c>
      <c r="B518" s="2">
        <v>3925.65</v>
      </c>
      <c r="C518" s="2">
        <v>3933.64</v>
      </c>
      <c r="D518" s="2">
        <v>3955.43</v>
      </c>
      <c r="E518" s="2">
        <v>3915.65</v>
      </c>
      <c r="F518" t="s">
        <v>258</v>
      </c>
      <c r="G518" s="3">
        <v>-1.11E-2</v>
      </c>
    </row>
    <row r="519" spans="1:7" x14ac:dyDescent="0.3">
      <c r="A519" s="1">
        <v>45714</v>
      </c>
      <c r="B519" s="2">
        <v>3959.94</v>
      </c>
      <c r="C519" s="2">
        <v>3931.84</v>
      </c>
      <c r="D519" s="2">
        <v>3960.33</v>
      </c>
      <c r="E519" s="2">
        <v>3925.37</v>
      </c>
      <c r="F519" t="s">
        <v>257</v>
      </c>
      <c r="G519" s="3">
        <v>8.6999999999999994E-3</v>
      </c>
    </row>
    <row r="520" spans="1:7" x14ac:dyDescent="0.3">
      <c r="A520" s="1">
        <v>45715</v>
      </c>
      <c r="B520" s="2">
        <v>3968.12</v>
      </c>
      <c r="C520" s="2">
        <v>3961.06</v>
      </c>
      <c r="D520" s="2">
        <v>3973.93</v>
      </c>
      <c r="E520" s="2">
        <v>3933.46</v>
      </c>
      <c r="F520" t="s">
        <v>256</v>
      </c>
      <c r="G520" s="3">
        <v>2.0999999999999999E-3</v>
      </c>
    </row>
    <row r="521" spans="1:7" x14ac:dyDescent="0.3">
      <c r="A521" s="1">
        <v>45716</v>
      </c>
      <c r="B521" s="2">
        <v>3890.05</v>
      </c>
      <c r="C521" s="2">
        <v>3950.19</v>
      </c>
      <c r="D521" s="2">
        <v>3972.48</v>
      </c>
      <c r="E521" s="2">
        <v>3886.4</v>
      </c>
      <c r="F521" t="s">
        <v>255</v>
      </c>
      <c r="G521" s="3">
        <v>-1.9699999999999999E-2</v>
      </c>
    </row>
    <row r="522" spans="1:7" x14ac:dyDescent="0.3">
      <c r="A522" s="1">
        <v>45719</v>
      </c>
      <c r="B522" s="2">
        <v>3888.47</v>
      </c>
      <c r="C522" s="2">
        <v>3899.7</v>
      </c>
      <c r="D522" s="2">
        <v>3930</v>
      </c>
      <c r="E522" s="2">
        <v>3872.59</v>
      </c>
      <c r="F522" t="s">
        <v>254</v>
      </c>
      <c r="G522" s="3">
        <v>-4.0000000000000002E-4</v>
      </c>
    </row>
    <row r="523" spans="1:7" x14ac:dyDescent="0.3">
      <c r="A523" s="1">
        <v>45720</v>
      </c>
      <c r="B523" s="2">
        <v>3885.22</v>
      </c>
      <c r="C523" s="2">
        <v>3865.99</v>
      </c>
      <c r="D523" s="2">
        <v>3890.42</v>
      </c>
      <c r="E523" s="2">
        <v>3855.73</v>
      </c>
      <c r="F523" t="s">
        <v>253</v>
      </c>
      <c r="G523" s="3">
        <v>-8.0000000000000004E-4</v>
      </c>
    </row>
    <row r="524" spans="1:7" x14ac:dyDescent="0.3">
      <c r="A524" s="1">
        <v>45721</v>
      </c>
      <c r="B524" s="2">
        <v>3902.57</v>
      </c>
      <c r="C524" s="2">
        <v>3887.8</v>
      </c>
      <c r="D524" s="2">
        <v>3906.42</v>
      </c>
      <c r="E524" s="2">
        <v>3877.02</v>
      </c>
      <c r="F524" t="s">
        <v>252</v>
      </c>
      <c r="G524" s="3">
        <v>4.4999999999999997E-3</v>
      </c>
    </row>
    <row r="525" spans="1:7" x14ac:dyDescent="0.3">
      <c r="A525" s="1">
        <v>45722</v>
      </c>
      <c r="B525" s="2">
        <v>3956.24</v>
      </c>
      <c r="C525" s="2">
        <v>3923.38</v>
      </c>
      <c r="D525" s="2">
        <v>3964.49</v>
      </c>
      <c r="E525" s="2">
        <v>3917.08</v>
      </c>
      <c r="F525" t="s">
        <v>251</v>
      </c>
      <c r="G525" s="3">
        <v>1.38E-2</v>
      </c>
    </row>
    <row r="526" spans="1:7" x14ac:dyDescent="0.3">
      <c r="A526" s="1">
        <v>45723</v>
      </c>
      <c r="B526" s="2">
        <v>3944.01</v>
      </c>
      <c r="C526" s="2">
        <v>3944.91</v>
      </c>
      <c r="D526" s="2">
        <v>3967.07</v>
      </c>
      <c r="E526" s="2">
        <v>3935.05</v>
      </c>
      <c r="F526" t="s">
        <v>250</v>
      </c>
      <c r="G526" s="3">
        <v>-3.0999999999999999E-3</v>
      </c>
    </row>
    <row r="527" spans="1:7" x14ac:dyDescent="0.3">
      <c r="A527" s="1">
        <v>45726</v>
      </c>
      <c r="B527" s="2">
        <v>3928.8</v>
      </c>
      <c r="C527" s="2">
        <v>3945.58</v>
      </c>
      <c r="D527" s="2">
        <v>3949.14</v>
      </c>
      <c r="E527" s="2">
        <v>3905.13</v>
      </c>
      <c r="F527" t="s">
        <v>249</v>
      </c>
      <c r="G527" s="3">
        <v>-3.8999999999999998E-3</v>
      </c>
    </row>
    <row r="528" spans="1:7" x14ac:dyDescent="0.3">
      <c r="A528" s="1">
        <v>45727</v>
      </c>
      <c r="B528" s="2">
        <v>3941.42</v>
      </c>
      <c r="C528" s="2">
        <v>3890.43</v>
      </c>
      <c r="D528" s="2">
        <v>3941.42</v>
      </c>
      <c r="E528" s="2">
        <v>3889.43</v>
      </c>
      <c r="F528" t="s">
        <v>248</v>
      </c>
      <c r="G528" s="3">
        <v>3.2000000000000002E-3</v>
      </c>
    </row>
    <row r="529" spans="1:7" x14ac:dyDescent="0.3">
      <c r="A529" s="1">
        <v>45728</v>
      </c>
      <c r="B529" s="2">
        <v>3927.23</v>
      </c>
      <c r="C529" s="2">
        <v>3946.86</v>
      </c>
      <c r="D529" s="2">
        <v>3953.61</v>
      </c>
      <c r="E529" s="2">
        <v>3921.47</v>
      </c>
      <c r="F529" t="s">
        <v>247</v>
      </c>
      <c r="G529" s="3">
        <v>-3.5999999999999999E-3</v>
      </c>
    </row>
    <row r="530" spans="1:7" x14ac:dyDescent="0.3">
      <c r="A530" s="1">
        <v>45729</v>
      </c>
      <c r="B530" s="2">
        <v>3911.58</v>
      </c>
      <c r="C530" s="2">
        <v>3925.74</v>
      </c>
      <c r="D530" s="2">
        <v>3939.29</v>
      </c>
      <c r="E530" s="2">
        <v>3897.38</v>
      </c>
      <c r="F530" t="s">
        <v>246</v>
      </c>
      <c r="G530" s="3">
        <v>-4.0000000000000001E-3</v>
      </c>
    </row>
    <row r="531" spans="1:7" x14ac:dyDescent="0.3">
      <c r="A531" s="1">
        <v>45730</v>
      </c>
      <c r="B531" s="2">
        <v>4006.56</v>
      </c>
      <c r="C531" s="2">
        <v>3919.62</v>
      </c>
      <c r="D531" s="2">
        <v>4014.16</v>
      </c>
      <c r="E531" s="2">
        <v>3919.62</v>
      </c>
      <c r="F531" t="s">
        <v>245</v>
      </c>
      <c r="G531" s="3">
        <v>2.4299999999999999E-2</v>
      </c>
    </row>
    <row r="532" spans="1:7" x14ac:dyDescent="0.3">
      <c r="A532" s="1">
        <v>45733</v>
      </c>
      <c r="B532" s="2">
        <v>3996.79</v>
      </c>
      <c r="C532" s="2">
        <v>4020.64</v>
      </c>
      <c r="D532" s="2">
        <v>4021.73</v>
      </c>
      <c r="E532" s="2">
        <v>3992.26</v>
      </c>
      <c r="F532" t="s">
        <v>244</v>
      </c>
      <c r="G532" s="3">
        <v>-2.3999999999999998E-3</v>
      </c>
    </row>
    <row r="533" spans="1:7" x14ac:dyDescent="0.3">
      <c r="A533" s="1">
        <v>45734</v>
      </c>
      <c r="B533" s="2">
        <v>4007.72</v>
      </c>
      <c r="C533" s="2">
        <v>4011.78</v>
      </c>
      <c r="D533" s="2">
        <v>4016.87</v>
      </c>
      <c r="E533" s="2">
        <v>3995.96</v>
      </c>
      <c r="F533" t="s">
        <v>243</v>
      </c>
      <c r="G533" s="3">
        <v>2.7000000000000001E-3</v>
      </c>
    </row>
    <row r="534" spans="1:7" x14ac:dyDescent="0.3">
      <c r="A534" s="1">
        <v>45735</v>
      </c>
      <c r="B534" s="2">
        <v>4010.17</v>
      </c>
      <c r="C534" s="2">
        <v>4004.83</v>
      </c>
      <c r="D534" s="2">
        <v>4025.3</v>
      </c>
      <c r="E534" s="2">
        <v>3989.51</v>
      </c>
      <c r="F534" t="s">
        <v>242</v>
      </c>
      <c r="G534" s="3">
        <v>5.9999999999999995E-4</v>
      </c>
    </row>
    <row r="535" spans="1:7" x14ac:dyDescent="0.3">
      <c r="A535" s="1">
        <v>45736</v>
      </c>
      <c r="B535" s="2">
        <v>3974.99</v>
      </c>
      <c r="C535" s="2">
        <v>4011.06</v>
      </c>
      <c r="D535" s="2">
        <v>4012.04</v>
      </c>
      <c r="E535" s="2">
        <v>3969.93</v>
      </c>
      <c r="F535" t="s">
        <v>241</v>
      </c>
      <c r="G535" s="3">
        <v>-8.8000000000000005E-3</v>
      </c>
    </row>
    <row r="536" spans="1:7" x14ac:dyDescent="0.3">
      <c r="A536" s="1">
        <v>45737</v>
      </c>
      <c r="B536" s="2">
        <v>3914.7</v>
      </c>
      <c r="C536" s="2">
        <v>3966.51</v>
      </c>
      <c r="D536" s="2">
        <v>3983.15</v>
      </c>
      <c r="E536" s="2">
        <v>3904.77</v>
      </c>
      <c r="F536" t="s">
        <v>240</v>
      </c>
      <c r="G536" s="3">
        <v>-1.52E-2</v>
      </c>
    </row>
    <row r="537" spans="1:7" x14ac:dyDescent="0.3">
      <c r="A537" s="1">
        <v>45740</v>
      </c>
      <c r="B537" s="2">
        <v>3934.85</v>
      </c>
      <c r="C537" s="2">
        <v>3916.11</v>
      </c>
      <c r="D537" s="2">
        <v>3938.18</v>
      </c>
      <c r="E537" s="2">
        <v>3907.2</v>
      </c>
      <c r="F537" t="s">
        <v>239</v>
      </c>
      <c r="G537" s="3">
        <v>5.1000000000000004E-3</v>
      </c>
    </row>
    <row r="538" spans="1:7" x14ac:dyDescent="0.3">
      <c r="A538" s="1">
        <v>45741</v>
      </c>
      <c r="B538" s="2">
        <v>3932.3</v>
      </c>
      <c r="C538" s="2">
        <v>3937.9</v>
      </c>
      <c r="D538" s="2">
        <v>3946.36</v>
      </c>
      <c r="E538" s="2">
        <v>3921.53</v>
      </c>
      <c r="F538" t="s">
        <v>238</v>
      </c>
      <c r="G538" s="3">
        <v>-5.9999999999999995E-4</v>
      </c>
    </row>
    <row r="539" spans="1:7" x14ac:dyDescent="0.3">
      <c r="A539" s="1">
        <v>45742</v>
      </c>
      <c r="B539" s="2">
        <v>3919.36</v>
      </c>
      <c r="C539" s="2">
        <v>3930.21</v>
      </c>
      <c r="D539" s="2">
        <v>3942.03</v>
      </c>
      <c r="E539" s="2">
        <v>3916.86</v>
      </c>
      <c r="F539" t="s">
        <v>237</v>
      </c>
      <c r="G539" s="3">
        <v>-3.3E-3</v>
      </c>
    </row>
    <row r="540" spans="1:7" x14ac:dyDescent="0.3">
      <c r="A540" s="1">
        <v>45743</v>
      </c>
      <c r="B540" s="2">
        <v>3932.41</v>
      </c>
      <c r="C540" s="2">
        <v>3911.38</v>
      </c>
      <c r="D540" s="2">
        <v>3952.99</v>
      </c>
      <c r="E540" s="2">
        <v>3903.65</v>
      </c>
      <c r="F540" t="s">
        <v>236</v>
      </c>
      <c r="G540" s="3">
        <v>3.3E-3</v>
      </c>
    </row>
    <row r="541" spans="1:7" x14ac:dyDescent="0.3">
      <c r="A541" s="1">
        <v>45744</v>
      </c>
      <c r="B541" s="2">
        <v>3915.17</v>
      </c>
      <c r="C541" s="2">
        <v>3930.78</v>
      </c>
      <c r="D541" s="2">
        <v>3934.23</v>
      </c>
      <c r="E541" s="2">
        <v>3907.38</v>
      </c>
      <c r="F541" t="s">
        <v>235</v>
      </c>
      <c r="G541" s="3">
        <v>-4.4000000000000003E-3</v>
      </c>
    </row>
    <row r="542" spans="1:7" x14ac:dyDescent="0.3">
      <c r="A542" s="1">
        <v>45747</v>
      </c>
      <c r="B542" s="2">
        <v>3887.31</v>
      </c>
      <c r="C542" s="2">
        <v>3905.98</v>
      </c>
      <c r="D542" s="2">
        <v>3928.45</v>
      </c>
      <c r="E542" s="2">
        <v>3872.4</v>
      </c>
      <c r="F542" t="s">
        <v>234</v>
      </c>
      <c r="G542" s="3">
        <v>-7.1000000000000004E-3</v>
      </c>
    </row>
    <row r="543" spans="1:7" x14ac:dyDescent="0.3">
      <c r="A543" s="1">
        <v>45748</v>
      </c>
      <c r="B543" s="2">
        <v>3887.68</v>
      </c>
      <c r="C543" s="2">
        <v>3892.78</v>
      </c>
      <c r="D543" s="2">
        <v>3905.26</v>
      </c>
      <c r="E543" s="2">
        <v>3882.4</v>
      </c>
      <c r="F543" t="s">
        <v>233</v>
      </c>
      <c r="G543" s="3">
        <v>1E-4</v>
      </c>
    </row>
    <row r="544" spans="1:7" x14ac:dyDescent="0.3">
      <c r="A544" s="1">
        <v>45749</v>
      </c>
      <c r="B544" s="2">
        <v>3884.39</v>
      </c>
      <c r="C544" s="2">
        <v>3884.42</v>
      </c>
      <c r="D544" s="2">
        <v>3900.49</v>
      </c>
      <c r="E544" s="2">
        <v>3877.16</v>
      </c>
      <c r="F544" t="s">
        <v>232</v>
      </c>
      <c r="G544" s="3">
        <v>-8.0000000000000004E-4</v>
      </c>
    </row>
    <row r="545" spans="1:7" x14ac:dyDescent="0.3">
      <c r="A545" s="1">
        <v>45750</v>
      </c>
      <c r="B545" s="2">
        <v>3861.5</v>
      </c>
      <c r="C545" s="2">
        <v>3843.42</v>
      </c>
      <c r="D545" s="2">
        <v>3883.7</v>
      </c>
      <c r="E545" s="2">
        <v>3843.42</v>
      </c>
      <c r="F545" t="s">
        <v>231</v>
      </c>
      <c r="G545" s="3">
        <v>-5.8999999999999999E-3</v>
      </c>
    </row>
    <row r="546" spans="1:7" x14ac:dyDescent="0.3">
      <c r="A546" s="1">
        <v>45754</v>
      </c>
      <c r="B546" s="2">
        <v>3589.44</v>
      </c>
      <c r="C546" s="2">
        <v>3675.2</v>
      </c>
      <c r="D546" s="2">
        <v>3707.78</v>
      </c>
      <c r="E546" s="2">
        <v>3514.12</v>
      </c>
      <c r="F546" t="s">
        <v>230</v>
      </c>
      <c r="G546" s="3">
        <v>-7.0499999999999993E-2</v>
      </c>
    </row>
    <row r="547" spans="1:7" x14ac:dyDescent="0.3">
      <c r="A547" s="1">
        <v>45755</v>
      </c>
      <c r="B547" s="2">
        <v>3650.76</v>
      </c>
      <c r="C547" s="2">
        <v>3597.99</v>
      </c>
      <c r="D547" s="2">
        <v>3650.76</v>
      </c>
      <c r="E547" s="2">
        <v>3583.87</v>
      </c>
      <c r="F547" t="s">
        <v>229</v>
      </c>
      <c r="G547" s="3">
        <v>1.7100000000000001E-2</v>
      </c>
    </row>
    <row r="548" spans="1:7" x14ac:dyDescent="0.3">
      <c r="A548" s="1">
        <v>45756</v>
      </c>
      <c r="B548" s="2">
        <v>3686.79</v>
      </c>
      <c r="C548" s="2">
        <v>3606.1</v>
      </c>
      <c r="D548" s="2">
        <v>3686.79</v>
      </c>
      <c r="E548" s="2">
        <v>3587.34</v>
      </c>
      <c r="F548" t="s">
        <v>228</v>
      </c>
      <c r="G548" s="3">
        <v>9.9000000000000008E-3</v>
      </c>
    </row>
    <row r="549" spans="1:7" x14ac:dyDescent="0.3">
      <c r="A549" s="1">
        <v>45757</v>
      </c>
      <c r="B549" s="2">
        <v>3735.11</v>
      </c>
      <c r="C549" s="2">
        <v>3749.13</v>
      </c>
      <c r="D549" s="2">
        <v>3756.14</v>
      </c>
      <c r="E549" s="2">
        <v>3708.82</v>
      </c>
      <c r="F549" t="s">
        <v>227</v>
      </c>
      <c r="G549" s="3">
        <v>1.3100000000000001E-2</v>
      </c>
    </row>
    <row r="550" spans="1:7" x14ac:dyDescent="0.3">
      <c r="A550" s="1">
        <v>45758</v>
      </c>
      <c r="B550" s="2">
        <v>3750.52</v>
      </c>
      <c r="C550" s="2">
        <v>3730.31</v>
      </c>
      <c r="D550" s="2">
        <v>3762.37</v>
      </c>
      <c r="E550" s="2">
        <v>3708.46</v>
      </c>
      <c r="F550" t="s">
        <v>226</v>
      </c>
      <c r="G550" s="3">
        <v>4.1000000000000003E-3</v>
      </c>
    </row>
    <row r="551" spans="1:7" x14ac:dyDescent="0.3">
      <c r="A551" s="1">
        <v>45761</v>
      </c>
      <c r="B551" s="2">
        <v>3759.14</v>
      </c>
      <c r="C551" s="2">
        <v>3772.04</v>
      </c>
      <c r="D551" s="2">
        <v>3776.63</v>
      </c>
      <c r="E551" s="2">
        <v>3754.03</v>
      </c>
      <c r="F551" t="s">
        <v>225</v>
      </c>
      <c r="G551" s="3">
        <v>2.3E-3</v>
      </c>
    </row>
    <row r="552" spans="1:7" x14ac:dyDescent="0.3">
      <c r="A552" s="1">
        <v>45762</v>
      </c>
      <c r="B552" s="2">
        <v>3761.23</v>
      </c>
      <c r="C552" s="2">
        <v>3756.48</v>
      </c>
      <c r="D552" s="2">
        <v>3764.49</v>
      </c>
      <c r="E552" s="2">
        <v>3737.85</v>
      </c>
      <c r="F552" t="s">
        <v>224</v>
      </c>
      <c r="G552" s="3">
        <v>5.9999999999999995E-4</v>
      </c>
    </row>
    <row r="553" spans="1:7" x14ac:dyDescent="0.3">
      <c r="A553" s="1">
        <v>45763</v>
      </c>
      <c r="B553" s="2">
        <v>3772.82</v>
      </c>
      <c r="C553" s="2">
        <v>3757.88</v>
      </c>
      <c r="D553" s="2">
        <v>3775.17</v>
      </c>
      <c r="E553" s="2">
        <v>3721.6</v>
      </c>
      <c r="F553" t="s">
        <v>223</v>
      </c>
      <c r="G553" s="3">
        <v>3.0999999999999999E-3</v>
      </c>
    </row>
    <row r="554" spans="1:7" x14ac:dyDescent="0.3">
      <c r="A554" s="1">
        <v>45764</v>
      </c>
      <c r="B554" s="2">
        <v>3772.22</v>
      </c>
      <c r="C554" s="2">
        <v>3755.09</v>
      </c>
      <c r="D554" s="2">
        <v>3779.13</v>
      </c>
      <c r="E554" s="2">
        <v>3749.5</v>
      </c>
      <c r="F554" t="s">
        <v>222</v>
      </c>
      <c r="G554" s="3">
        <v>-2.0000000000000001E-4</v>
      </c>
    </row>
    <row r="555" spans="1:7" x14ac:dyDescent="0.3">
      <c r="A555" s="1">
        <v>45765</v>
      </c>
      <c r="B555" s="2">
        <v>3772.52</v>
      </c>
      <c r="C555" s="2">
        <v>3760.04</v>
      </c>
      <c r="D555" s="2">
        <v>3782.04</v>
      </c>
      <c r="E555" s="2">
        <v>3754.41</v>
      </c>
      <c r="F555" t="s">
        <v>221</v>
      </c>
      <c r="G555" s="3">
        <v>1E-4</v>
      </c>
    </row>
    <row r="556" spans="1:7" x14ac:dyDescent="0.3">
      <c r="A556" s="1">
        <v>45768</v>
      </c>
      <c r="B556" s="2">
        <v>3784.88</v>
      </c>
      <c r="C556" s="2">
        <v>3768.14</v>
      </c>
      <c r="D556" s="2">
        <v>3790.18</v>
      </c>
      <c r="E556" s="2">
        <v>3763.14</v>
      </c>
      <c r="F556" t="s">
        <v>220</v>
      </c>
      <c r="G556" s="3">
        <v>3.3E-3</v>
      </c>
    </row>
    <row r="557" spans="1:7" x14ac:dyDescent="0.3">
      <c r="A557" s="1">
        <v>45769</v>
      </c>
      <c r="B557" s="2">
        <v>3783.95</v>
      </c>
      <c r="C557" s="2">
        <v>3780.11</v>
      </c>
      <c r="D557" s="2">
        <v>3799.23</v>
      </c>
      <c r="E557" s="2">
        <v>3778.08</v>
      </c>
      <c r="F557" t="s">
        <v>219</v>
      </c>
      <c r="G557" s="3">
        <v>-2.0000000000000001E-4</v>
      </c>
    </row>
    <row r="558" spans="1:7" x14ac:dyDescent="0.3">
      <c r="A558" s="1">
        <v>45770</v>
      </c>
      <c r="B558" s="2">
        <v>3786.88</v>
      </c>
      <c r="C558" s="2">
        <v>3803.43</v>
      </c>
      <c r="D558" s="2">
        <v>3807.95</v>
      </c>
      <c r="E558" s="2">
        <v>3780.52</v>
      </c>
      <c r="F558" t="s">
        <v>218</v>
      </c>
      <c r="G558" s="3">
        <v>8.0000000000000004E-4</v>
      </c>
    </row>
    <row r="559" spans="1:7" x14ac:dyDescent="0.3">
      <c r="A559" s="1">
        <v>45771</v>
      </c>
      <c r="B559" s="2">
        <v>3784.36</v>
      </c>
      <c r="C559" s="2">
        <v>3787.46</v>
      </c>
      <c r="D559" s="2">
        <v>3807.26</v>
      </c>
      <c r="E559" s="2">
        <v>3775.21</v>
      </c>
      <c r="F559" t="s">
        <v>217</v>
      </c>
      <c r="G559" s="3">
        <v>-6.9999999999999999E-4</v>
      </c>
    </row>
    <row r="560" spans="1:7" x14ac:dyDescent="0.3">
      <c r="A560" s="1">
        <v>45772</v>
      </c>
      <c r="B560" s="2">
        <v>3786.99</v>
      </c>
      <c r="C560" s="2">
        <v>3792.08</v>
      </c>
      <c r="D560" s="2">
        <v>3801.58</v>
      </c>
      <c r="E560" s="2">
        <v>3780.78</v>
      </c>
      <c r="F560" t="s">
        <v>216</v>
      </c>
      <c r="G560" s="3">
        <v>6.9999999999999999E-4</v>
      </c>
    </row>
    <row r="561" spans="1:7" x14ac:dyDescent="0.3">
      <c r="A561" s="1">
        <v>45775</v>
      </c>
      <c r="B561" s="2">
        <v>3781.62</v>
      </c>
      <c r="C561" s="2">
        <v>3786.39</v>
      </c>
      <c r="D561" s="2">
        <v>3792.01</v>
      </c>
      <c r="E561" s="2">
        <v>3772.8</v>
      </c>
      <c r="F561" t="s">
        <v>215</v>
      </c>
      <c r="G561" s="3">
        <v>-1.4E-3</v>
      </c>
    </row>
    <row r="562" spans="1:7" x14ac:dyDescent="0.3">
      <c r="A562" s="1">
        <v>45776</v>
      </c>
      <c r="B562" s="2">
        <v>3775.08</v>
      </c>
      <c r="C562" s="2">
        <v>3776</v>
      </c>
      <c r="D562" s="2">
        <v>3785.32</v>
      </c>
      <c r="E562" s="2">
        <v>3768.03</v>
      </c>
      <c r="F562" t="s">
        <v>214</v>
      </c>
      <c r="G562" s="3">
        <v>-1.6999999999999999E-3</v>
      </c>
    </row>
    <row r="563" spans="1:7" x14ac:dyDescent="0.3">
      <c r="A563" s="1">
        <v>45777</v>
      </c>
      <c r="B563" s="2">
        <v>3770.57</v>
      </c>
      <c r="C563" s="2">
        <v>3775.83</v>
      </c>
      <c r="D563" s="2">
        <v>3787.56</v>
      </c>
      <c r="E563" s="2">
        <v>3768.76</v>
      </c>
      <c r="F563" t="s">
        <v>213</v>
      </c>
      <c r="G563" s="3">
        <v>-1.1999999999999999E-3</v>
      </c>
    </row>
    <row r="564" spans="1:7" x14ac:dyDescent="0.3">
      <c r="A564" s="1">
        <v>45783</v>
      </c>
      <c r="B564" s="2">
        <v>3808.54</v>
      </c>
      <c r="C564" s="2">
        <v>3794.38</v>
      </c>
      <c r="D564" s="2">
        <v>3809.09</v>
      </c>
      <c r="E564" s="2">
        <v>3782.78</v>
      </c>
      <c r="F564" t="s">
        <v>212</v>
      </c>
      <c r="G564" s="3">
        <v>1.01E-2</v>
      </c>
    </row>
    <row r="565" spans="1:7" x14ac:dyDescent="0.3">
      <c r="A565" s="1">
        <v>45784</v>
      </c>
      <c r="B565" s="2">
        <v>3831.63</v>
      </c>
      <c r="C565" s="2">
        <v>3861.58</v>
      </c>
      <c r="D565" s="2">
        <v>3863.68</v>
      </c>
      <c r="E565" s="2">
        <v>3814.99</v>
      </c>
      <c r="F565" t="s">
        <v>211</v>
      </c>
      <c r="G565" s="3">
        <v>6.1000000000000004E-3</v>
      </c>
    </row>
    <row r="566" spans="1:7" x14ac:dyDescent="0.3">
      <c r="A566" s="1">
        <v>45785</v>
      </c>
      <c r="B566" s="2">
        <v>3852.9</v>
      </c>
      <c r="C566" s="2">
        <v>3820.55</v>
      </c>
      <c r="D566" s="2">
        <v>3867.33</v>
      </c>
      <c r="E566" s="2">
        <v>3816.26</v>
      </c>
      <c r="F566" t="s">
        <v>210</v>
      </c>
      <c r="G566" s="3">
        <v>5.5999999999999999E-3</v>
      </c>
    </row>
    <row r="567" spans="1:7" x14ac:dyDescent="0.3">
      <c r="A567" s="1">
        <v>45786</v>
      </c>
      <c r="B567" s="2">
        <v>3846.16</v>
      </c>
      <c r="C567" s="2">
        <v>3848.62</v>
      </c>
      <c r="D567" s="2">
        <v>3853.66</v>
      </c>
      <c r="E567" s="2">
        <v>3836.53</v>
      </c>
      <c r="F567" t="s">
        <v>209</v>
      </c>
      <c r="G567" s="3">
        <v>-1.6999999999999999E-3</v>
      </c>
    </row>
    <row r="568" spans="1:7" x14ac:dyDescent="0.3">
      <c r="A568" s="1">
        <v>45789</v>
      </c>
      <c r="B568" s="2">
        <v>3890.61</v>
      </c>
      <c r="C568" s="2">
        <v>3866.53</v>
      </c>
      <c r="D568" s="2">
        <v>3890.73</v>
      </c>
      <c r="E568" s="2">
        <v>3859.03</v>
      </c>
      <c r="F568" t="s">
        <v>208</v>
      </c>
      <c r="G568" s="3">
        <v>1.1599999999999999E-2</v>
      </c>
    </row>
    <row r="569" spans="1:7" x14ac:dyDescent="0.3">
      <c r="A569" s="1">
        <v>45790</v>
      </c>
      <c r="B569" s="2">
        <v>3896.26</v>
      </c>
      <c r="C569" s="2">
        <v>3915.59</v>
      </c>
      <c r="D569" s="2">
        <v>3915.59</v>
      </c>
      <c r="E569" s="2">
        <v>3890.69</v>
      </c>
      <c r="F569" t="s">
        <v>207</v>
      </c>
      <c r="G569" s="3">
        <v>1.5E-3</v>
      </c>
    </row>
    <row r="570" spans="1:7" x14ac:dyDescent="0.3">
      <c r="A570" s="1">
        <v>45791</v>
      </c>
      <c r="B570" s="2">
        <v>3943.21</v>
      </c>
      <c r="C570" s="2">
        <v>3894.84</v>
      </c>
      <c r="D570" s="2">
        <v>3960.52</v>
      </c>
      <c r="E570" s="2">
        <v>3890.65</v>
      </c>
      <c r="F570" t="s">
        <v>206</v>
      </c>
      <c r="G570" s="3">
        <v>1.21E-2</v>
      </c>
    </row>
    <row r="571" spans="1:7" x14ac:dyDescent="0.3">
      <c r="A571" s="1">
        <v>45792</v>
      </c>
      <c r="B571" s="2">
        <v>3907.2</v>
      </c>
      <c r="C571" s="2">
        <v>3934.03</v>
      </c>
      <c r="D571" s="2">
        <v>3936.47</v>
      </c>
      <c r="E571" s="2">
        <v>3904.91</v>
      </c>
      <c r="F571" t="s">
        <v>205</v>
      </c>
      <c r="G571" s="3">
        <v>-9.1000000000000004E-3</v>
      </c>
    </row>
    <row r="572" spans="1:7" x14ac:dyDescent="0.3">
      <c r="A572" s="1">
        <v>45793</v>
      </c>
      <c r="B572" s="2">
        <v>3889.09</v>
      </c>
      <c r="C572" s="2">
        <v>3898.67</v>
      </c>
      <c r="D572" s="2">
        <v>3903.85</v>
      </c>
      <c r="E572" s="2">
        <v>3874.86</v>
      </c>
      <c r="F572" t="s">
        <v>204</v>
      </c>
      <c r="G572" s="3">
        <v>-4.5999999999999999E-3</v>
      </c>
    </row>
    <row r="573" spans="1:7" x14ac:dyDescent="0.3">
      <c r="A573" s="1">
        <v>45796</v>
      </c>
      <c r="B573" s="2">
        <v>3877.15</v>
      </c>
      <c r="C573" s="2">
        <v>3882.57</v>
      </c>
      <c r="D573" s="2">
        <v>3885.59</v>
      </c>
      <c r="E573" s="2">
        <v>3866.57</v>
      </c>
      <c r="F573" t="s">
        <v>203</v>
      </c>
      <c r="G573" s="3">
        <v>-3.0999999999999999E-3</v>
      </c>
    </row>
    <row r="574" spans="1:7" x14ac:dyDescent="0.3">
      <c r="A574" s="1">
        <v>45797</v>
      </c>
      <c r="B574" s="2">
        <v>3898.17</v>
      </c>
      <c r="C574" s="2">
        <v>3883.1</v>
      </c>
      <c r="D574" s="2">
        <v>3911.47</v>
      </c>
      <c r="E574" s="2">
        <v>3881.74</v>
      </c>
      <c r="F574" t="s">
        <v>202</v>
      </c>
      <c r="G574" s="3">
        <v>5.4000000000000003E-3</v>
      </c>
    </row>
    <row r="575" spans="1:7" x14ac:dyDescent="0.3">
      <c r="A575" s="1">
        <v>45798</v>
      </c>
      <c r="B575" s="2">
        <v>3916.38</v>
      </c>
      <c r="C575" s="2">
        <v>3899.44</v>
      </c>
      <c r="D575" s="2">
        <v>3928.63</v>
      </c>
      <c r="E575" s="2">
        <v>3899.44</v>
      </c>
      <c r="F575" t="s">
        <v>201</v>
      </c>
      <c r="G575" s="3">
        <v>4.7000000000000002E-3</v>
      </c>
    </row>
    <row r="576" spans="1:7" x14ac:dyDescent="0.3">
      <c r="A576" s="1">
        <v>45799</v>
      </c>
      <c r="B576" s="2">
        <v>3913.86</v>
      </c>
      <c r="C576" s="2">
        <v>3912.6</v>
      </c>
      <c r="D576" s="2">
        <v>3923.02</v>
      </c>
      <c r="E576" s="2">
        <v>3903.09</v>
      </c>
      <c r="F576" t="s">
        <v>200</v>
      </c>
      <c r="G576" s="3">
        <v>-5.9999999999999995E-4</v>
      </c>
    </row>
    <row r="577" spans="1:7" x14ac:dyDescent="0.3">
      <c r="A577" s="1">
        <v>45800</v>
      </c>
      <c r="B577" s="2">
        <v>3882.27</v>
      </c>
      <c r="C577" s="2">
        <v>3910.37</v>
      </c>
      <c r="D577" s="2">
        <v>3931.55</v>
      </c>
      <c r="E577" s="2">
        <v>3882.27</v>
      </c>
      <c r="F577" t="s">
        <v>199</v>
      </c>
      <c r="G577" s="3">
        <v>-8.0999999999999996E-3</v>
      </c>
    </row>
    <row r="578" spans="1:7" x14ac:dyDescent="0.3">
      <c r="A578" s="1">
        <v>45803</v>
      </c>
      <c r="B578" s="2">
        <v>3860.11</v>
      </c>
      <c r="C578" s="2">
        <v>3875.79</v>
      </c>
      <c r="D578" s="2">
        <v>3884.54</v>
      </c>
      <c r="E578" s="2">
        <v>3849.04</v>
      </c>
      <c r="F578" t="s">
        <v>198</v>
      </c>
      <c r="G578" s="3">
        <v>-5.7000000000000002E-3</v>
      </c>
    </row>
    <row r="579" spans="1:7" x14ac:dyDescent="0.3">
      <c r="A579" s="1">
        <v>45804</v>
      </c>
      <c r="B579" s="2">
        <v>3839.4</v>
      </c>
      <c r="C579" s="2">
        <v>3857.63</v>
      </c>
      <c r="D579" s="2">
        <v>3865.43</v>
      </c>
      <c r="E579" s="2">
        <v>3834.85</v>
      </c>
      <c r="F579" t="s">
        <v>197</v>
      </c>
      <c r="G579" s="3">
        <v>-5.4000000000000003E-3</v>
      </c>
    </row>
    <row r="580" spans="1:7" x14ac:dyDescent="0.3">
      <c r="A580" s="1">
        <v>45805</v>
      </c>
      <c r="B580" s="2">
        <v>3836.24</v>
      </c>
      <c r="C580" s="2">
        <v>3843.07</v>
      </c>
      <c r="D580" s="2">
        <v>3849.74</v>
      </c>
      <c r="E580" s="2">
        <v>3833.96</v>
      </c>
      <c r="F580" t="s">
        <v>196</v>
      </c>
      <c r="G580" s="3">
        <v>-8.0000000000000004E-4</v>
      </c>
    </row>
    <row r="581" spans="1:7" x14ac:dyDescent="0.3">
      <c r="A581" s="1">
        <v>45806</v>
      </c>
      <c r="B581" s="2">
        <v>3858.7</v>
      </c>
      <c r="C581" s="2">
        <v>3838.01</v>
      </c>
      <c r="D581" s="2">
        <v>3869.79</v>
      </c>
      <c r="E581" s="2">
        <v>3831.46</v>
      </c>
      <c r="F581" t="s">
        <v>195</v>
      </c>
      <c r="G581" s="3">
        <v>5.8999999999999999E-3</v>
      </c>
    </row>
    <row r="582" spans="1:7" x14ac:dyDescent="0.3">
      <c r="A582" s="1">
        <v>45807</v>
      </c>
      <c r="B582" s="2">
        <v>3840.23</v>
      </c>
      <c r="C582" s="2">
        <v>3850.49</v>
      </c>
      <c r="D582" s="2">
        <v>3858.61</v>
      </c>
      <c r="E582" s="2">
        <v>3829.25</v>
      </c>
      <c r="F582" t="s">
        <v>194</v>
      </c>
      <c r="G582" s="3">
        <v>-4.7999999999999996E-3</v>
      </c>
    </row>
    <row r="583" spans="1:7" x14ac:dyDescent="0.3">
      <c r="A583" s="1">
        <v>45811</v>
      </c>
      <c r="B583" s="2">
        <v>3852.01</v>
      </c>
      <c r="C583" s="2">
        <v>3833.46</v>
      </c>
      <c r="D583" s="2">
        <v>3863.3</v>
      </c>
      <c r="E583" s="2">
        <v>3832.72</v>
      </c>
      <c r="F583" t="s">
        <v>193</v>
      </c>
      <c r="G583" s="3">
        <v>3.0999999999999999E-3</v>
      </c>
    </row>
    <row r="584" spans="1:7" x14ac:dyDescent="0.3">
      <c r="A584" s="1">
        <v>45812</v>
      </c>
      <c r="B584" s="2">
        <v>3868.74</v>
      </c>
      <c r="C584" s="2">
        <v>3855.49</v>
      </c>
      <c r="D584" s="2">
        <v>3875.86</v>
      </c>
      <c r="E584" s="2">
        <v>3855.49</v>
      </c>
      <c r="F584" t="s">
        <v>192</v>
      </c>
      <c r="G584" s="3">
        <v>4.3E-3</v>
      </c>
    </row>
    <row r="585" spans="1:7" x14ac:dyDescent="0.3">
      <c r="A585" s="1">
        <v>45813</v>
      </c>
      <c r="B585" s="2">
        <v>3877.56</v>
      </c>
      <c r="C585" s="2">
        <v>3872.64</v>
      </c>
      <c r="D585" s="2">
        <v>3883.13</v>
      </c>
      <c r="E585" s="2">
        <v>3861.27</v>
      </c>
      <c r="F585" t="s">
        <v>191</v>
      </c>
      <c r="G585" s="3">
        <v>2.3E-3</v>
      </c>
    </row>
    <row r="586" spans="1:7" x14ac:dyDescent="0.3">
      <c r="A586" s="1">
        <v>45814</v>
      </c>
      <c r="B586" s="2">
        <v>3873.98</v>
      </c>
      <c r="C586" s="2">
        <v>3878.1</v>
      </c>
      <c r="D586" s="2">
        <v>3889.46</v>
      </c>
      <c r="E586" s="2">
        <v>3869.39</v>
      </c>
      <c r="F586" t="s">
        <v>190</v>
      </c>
      <c r="G586" s="3">
        <v>-8.9999999999999998E-4</v>
      </c>
    </row>
    <row r="587" spans="1:7" x14ac:dyDescent="0.3">
      <c r="A587" s="1">
        <v>45817</v>
      </c>
      <c r="B587" s="2">
        <v>3885.25</v>
      </c>
      <c r="C587" s="2">
        <v>3877.8</v>
      </c>
      <c r="D587" s="2">
        <v>3894.65</v>
      </c>
      <c r="E587" s="2">
        <v>3871.99</v>
      </c>
      <c r="F587" t="s">
        <v>189</v>
      </c>
      <c r="G587" s="3">
        <v>2.8999999999999998E-3</v>
      </c>
    </row>
    <row r="588" spans="1:7" x14ac:dyDescent="0.3">
      <c r="A588" s="1">
        <v>45818</v>
      </c>
      <c r="B588" s="2">
        <v>3865.47</v>
      </c>
      <c r="C588" s="2">
        <v>3887.55</v>
      </c>
      <c r="D588" s="2">
        <v>3897.46</v>
      </c>
      <c r="E588" s="2">
        <v>3850.47</v>
      </c>
      <c r="F588" t="s">
        <v>188</v>
      </c>
      <c r="G588" s="3">
        <v>-5.1000000000000004E-3</v>
      </c>
    </row>
    <row r="589" spans="1:7" x14ac:dyDescent="0.3">
      <c r="A589" s="1">
        <v>45819</v>
      </c>
      <c r="B589" s="2">
        <v>3894.63</v>
      </c>
      <c r="C589" s="2">
        <v>3870.67</v>
      </c>
      <c r="D589" s="2">
        <v>3911.61</v>
      </c>
      <c r="E589" s="2">
        <v>3870.67</v>
      </c>
      <c r="F589" t="s">
        <v>187</v>
      </c>
      <c r="G589" s="3">
        <v>7.4999999999999997E-3</v>
      </c>
    </row>
    <row r="590" spans="1:7" x14ac:dyDescent="0.3">
      <c r="A590" s="1">
        <v>45820</v>
      </c>
      <c r="B590" s="2">
        <v>3892.2</v>
      </c>
      <c r="C590" s="2">
        <v>3885.52</v>
      </c>
      <c r="D590" s="2">
        <v>3900.04</v>
      </c>
      <c r="E590" s="2">
        <v>3870.38</v>
      </c>
      <c r="F590" t="s">
        <v>186</v>
      </c>
      <c r="G590" s="3">
        <v>-5.9999999999999995E-4</v>
      </c>
    </row>
    <row r="591" spans="1:7" x14ac:dyDescent="0.3">
      <c r="A591" s="1">
        <v>45821</v>
      </c>
      <c r="B591" s="2">
        <v>3864.18</v>
      </c>
      <c r="C591" s="2">
        <v>3881.49</v>
      </c>
      <c r="D591" s="2">
        <v>3889.16</v>
      </c>
      <c r="E591" s="2">
        <v>3853.82</v>
      </c>
      <c r="F591" t="s">
        <v>185</v>
      </c>
      <c r="G591" s="3">
        <v>-7.1999999999999998E-3</v>
      </c>
    </row>
    <row r="592" spans="1:7" x14ac:dyDescent="0.3">
      <c r="A592" s="1">
        <v>45824</v>
      </c>
      <c r="B592" s="2">
        <v>3873.8</v>
      </c>
      <c r="C592" s="2">
        <v>3853.62</v>
      </c>
      <c r="D592" s="2">
        <v>3876.17</v>
      </c>
      <c r="E592" s="2">
        <v>3853.62</v>
      </c>
      <c r="F592" t="s">
        <v>184</v>
      </c>
      <c r="G592" s="3">
        <v>2.5000000000000001E-3</v>
      </c>
    </row>
    <row r="593" spans="1:7" x14ac:dyDescent="0.3">
      <c r="A593" s="1">
        <v>45825</v>
      </c>
      <c r="B593" s="2">
        <v>3870.38</v>
      </c>
      <c r="C593" s="2">
        <v>3875.18</v>
      </c>
      <c r="D593" s="2">
        <v>3880.42</v>
      </c>
      <c r="E593" s="2">
        <v>3860.41</v>
      </c>
      <c r="F593" t="s">
        <v>183</v>
      </c>
      <c r="G593" s="3">
        <v>-8.9999999999999998E-4</v>
      </c>
    </row>
    <row r="594" spans="1:7" x14ac:dyDescent="0.3">
      <c r="A594" s="1">
        <v>45826</v>
      </c>
      <c r="B594" s="2">
        <v>3874.97</v>
      </c>
      <c r="C594" s="2">
        <v>3871.65</v>
      </c>
      <c r="D594" s="2">
        <v>3881.35</v>
      </c>
      <c r="E594" s="2">
        <v>3854.66</v>
      </c>
      <c r="F594" t="s">
        <v>182</v>
      </c>
      <c r="G594" s="3">
        <v>1.1999999999999999E-3</v>
      </c>
    </row>
    <row r="595" spans="1:7" x14ac:dyDescent="0.3">
      <c r="A595" s="1">
        <v>45827</v>
      </c>
      <c r="B595" s="2">
        <v>3843.09</v>
      </c>
      <c r="C595" s="2">
        <v>3870.05</v>
      </c>
      <c r="D595" s="2">
        <v>3872.94</v>
      </c>
      <c r="E595" s="2">
        <v>3834.95</v>
      </c>
      <c r="F595" t="s">
        <v>181</v>
      </c>
      <c r="G595" s="3">
        <v>-8.2000000000000007E-3</v>
      </c>
    </row>
    <row r="596" spans="1:7" x14ac:dyDescent="0.3">
      <c r="A596" s="1">
        <v>45828</v>
      </c>
      <c r="B596" s="2">
        <v>3846.64</v>
      </c>
      <c r="C596" s="2">
        <v>3839.78</v>
      </c>
      <c r="D596" s="2">
        <v>3856.48</v>
      </c>
      <c r="E596" s="2">
        <v>3839.78</v>
      </c>
      <c r="F596" t="s">
        <v>180</v>
      </c>
      <c r="G596" s="3">
        <v>8.9999999999999998E-4</v>
      </c>
    </row>
    <row r="597" spans="1:7" x14ac:dyDescent="0.3">
      <c r="A597" s="1">
        <v>45831</v>
      </c>
      <c r="B597" s="2">
        <v>3857.9</v>
      </c>
      <c r="C597" s="2">
        <v>3831.17</v>
      </c>
      <c r="D597" s="2">
        <v>3867.59</v>
      </c>
      <c r="E597" s="2">
        <v>3827.08</v>
      </c>
      <c r="F597" t="s">
        <v>179</v>
      </c>
      <c r="G597" s="3">
        <v>2.8999999999999998E-3</v>
      </c>
    </row>
    <row r="598" spans="1:7" x14ac:dyDescent="0.3">
      <c r="A598" s="1">
        <v>45832</v>
      </c>
      <c r="B598" s="2">
        <v>3904.03</v>
      </c>
      <c r="C598" s="2">
        <v>3862.39</v>
      </c>
      <c r="D598" s="2">
        <v>3914.16</v>
      </c>
      <c r="E598" s="2">
        <v>3862.39</v>
      </c>
      <c r="F598" t="s">
        <v>178</v>
      </c>
      <c r="G598" s="3">
        <v>1.2E-2</v>
      </c>
    </row>
    <row r="599" spans="1:7" x14ac:dyDescent="0.3">
      <c r="A599" s="1">
        <v>45833</v>
      </c>
      <c r="B599" s="2">
        <v>3960.07</v>
      </c>
      <c r="C599" s="2">
        <v>3907.07</v>
      </c>
      <c r="D599" s="2">
        <v>3963.04</v>
      </c>
      <c r="E599" s="2">
        <v>3902.18</v>
      </c>
      <c r="F599" t="s">
        <v>177</v>
      </c>
      <c r="G599" s="3">
        <v>1.44E-2</v>
      </c>
    </row>
    <row r="600" spans="1:7" x14ac:dyDescent="0.3">
      <c r="A600" s="1">
        <v>45834</v>
      </c>
      <c r="B600" s="2">
        <v>3946.02</v>
      </c>
      <c r="C600" s="2">
        <v>3953.16</v>
      </c>
      <c r="D600" s="2">
        <v>3964.48</v>
      </c>
      <c r="E600" s="2">
        <v>3945.26</v>
      </c>
      <c r="F600" t="s">
        <v>176</v>
      </c>
      <c r="G600" s="3">
        <v>-3.5000000000000001E-3</v>
      </c>
    </row>
    <row r="601" spans="1:7" x14ac:dyDescent="0.3">
      <c r="A601" s="1">
        <v>45835</v>
      </c>
      <c r="B601" s="2">
        <v>3921.76</v>
      </c>
      <c r="C601" s="2">
        <v>3949.79</v>
      </c>
      <c r="D601" s="2">
        <v>3969.26</v>
      </c>
      <c r="E601" s="2">
        <v>3918.2</v>
      </c>
      <c r="F601" t="s">
        <v>79</v>
      </c>
      <c r="G601" s="3">
        <v>-6.1000000000000004E-3</v>
      </c>
    </row>
    <row r="602" spans="1:7" x14ac:dyDescent="0.3">
      <c r="A602" s="1">
        <v>45838</v>
      </c>
      <c r="B602" s="2">
        <v>3936.08</v>
      </c>
      <c r="C602" s="2">
        <v>3920.31</v>
      </c>
      <c r="D602" s="2">
        <v>3940.36</v>
      </c>
      <c r="E602" s="2">
        <v>3911.6</v>
      </c>
      <c r="F602" t="s">
        <v>175</v>
      </c>
      <c r="G602" s="3">
        <v>3.7000000000000002E-3</v>
      </c>
    </row>
    <row r="603" spans="1:7" x14ac:dyDescent="0.3">
      <c r="A603" s="1">
        <v>45839</v>
      </c>
      <c r="B603" s="2">
        <v>3942.76</v>
      </c>
      <c r="C603" s="2">
        <v>3935.91</v>
      </c>
      <c r="D603" s="2">
        <v>3946.25</v>
      </c>
      <c r="E603" s="2">
        <v>3924.72</v>
      </c>
      <c r="F603" t="s">
        <v>174</v>
      </c>
      <c r="G603" s="3">
        <v>1.6999999999999999E-3</v>
      </c>
    </row>
    <row r="604" spans="1:7" x14ac:dyDescent="0.3">
      <c r="A604" s="1">
        <v>45840</v>
      </c>
      <c r="B604" s="2">
        <v>3943.68</v>
      </c>
      <c r="C604" s="2">
        <v>3943.32</v>
      </c>
      <c r="D604" s="2">
        <v>3952.14</v>
      </c>
      <c r="E604" s="2">
        <v>3929.7</v>
      </c>
      <c r="F604" t="s">
        <v>173</v>
      </c>
      <c r="G604" s="3">
        <v>2.0000000000000001E-4</v>
      </c>
    </row>
    <row r="605" spans="1:7" x14ac:dyDescent="0.3">
      <c r="A605" s="1">
        <v>45841</v>
      </c>
      <c r="B605" s="2">
        <v>3968.07</v>
      </c>
      <c r="C605" s="2">
        <v>3949.4</v>
      </c>
      <c r="D605" s="2">
        <v>3971.62</v>
      </c>
      <c r="E605" s="2">
        <v>3945.14</v>
      </c>
      <c r="F605" t="s">
        <v>172</v>
      </c>
      <c r="G605" s="3">
        <v>6.1999999999999998E-3</v>
      </c>
    </row>
    <row r="606" spans="1:7" x14ac:dyDescent="0.3">
      <c r="A606" s="1">
        <v>45842</v>
      </c>
      <c r="B606" s="2">
        <v>3982.2</v>
      </c>
      <c r="C606" s="2">
        <v>3967.46</v>
      </c>
      <c r="D606" s="2">
        <v>4013.85</v>
      </c>
      <c r="E606" s="2">
        <v>3958.38</v>
      </c>
      <c r="F606" t="s">
        <v>171</v>
      </c>
      <c r="G606" s="3">
        <v>3.5999999999999999E-3</v>
      </c>
    </row>
    <row r="607" spans="1:7" x14ac:dyDescent="0.3">
      <c r="A607" s="1">
        <v>45845</v>
      </c>
      <c r="B607" s="2">
        <v>3965.17</v>
      </c>
      <c r="C607" s="2">
        <v>3977.29</v>
      </c>
      <c r="D607" s="2">
        <v>3979.75</v>
      </c>
      <c r="E607" s="2">
        <v>3956.57</v>
      </c>
      <c r="F607" t="s">
        <v>170</v>
      </c>
      <c r="G607" s="3">
        <v>-4.3E-3</v>
      </c>
    </row>
    <row r="608" spans="1:7" x14ac:dyDescent="0.3">
      <c r="A608" s="1">
        <v>45846</v>
      </c>
      <c r="B608" s="2">
        <v>3998.45</v>
      </c>
      <c r="C608" s="2">
        <v>3965.43</v>
      </c>
      <c r="D608" s="2">
        <v>4002.27</v>
      </c>
      <c r="E608" s="2">
        <v>3965.43</v>
      </c>
      <c r="F608" t="s">
        <v>169</v>
      </c>
      <c r="G608" s="3">
        <v>8.3999999999999995E-3</v>
      </c>
    </row>
    <row r="609" spans="1:7" x14ac:dyDescent="0.3">
      <c r="A609" s="1">
        <v>45847</v>
      </c>
      <c r="B609" s="2">
        <v>3991.4</v>
      </c>
      <c r="C609" s="2">
        <v>3997.5</v>
      </c>
      <c r="D609" s="2">
        <v>4016.74</v>
      </c>
      <c r="E609" s="2">
        <v>3987.43</v>
      </c>
      <c r="F609" t="s">
        <v>168</v>
      </c>
      <c r="G609" s="3">
        <v>-1.8E-3</v>
      </c>
    </row>
    <row r="610" spans="1:7" x14ac:dyDescent="0.3">
      <c r="A610" s="1">
        <v>45848</v>
      </c>
      <c r="B610" s="2">
        <v>4010.02</v>
      </c>
      <c r="C610" s="2">
        <v>3993.42</v>
      </c>
      <c r="D610" s="2">
        <v>4032.98</v>
      </c>
      <c r="E610" s="2">
        <v>3992.52</v>
      </c>
      <c r="F610" t="s">
        <v>167</v>
      </c>
      <c r="G610" s="3">
        <v>4.7000000000000002E-3</v>
      </c>
    </row>
    <row r="611" spans="1:7" x14ac:dyDescent="0.3">
      <c r="A611" s="1">
        <v>45849</v>
      </c>
      <c r="B611" s="2">
        <v>4014.81</v>
      </c>
      <c r="C611" s="2">
        <v>4011.47</v>
      </c>
      <c r="D611" s="2">
        <v>4065.94</v>
      </c>
      <c r="E611" s="2">
        <v>4010.11</v>
      </c>
      <c r="F611" t="s">
        <v>166</v>
      </c>
      <c r="G611" s="3">
        <v>1.1999999999999999E-3</v>
      </c>
    </row>
    <row r="612" spans="1:7" x14ac:dyDescent="0.3">
      <c r="A612" s="1">
        <v>45852</v>
      </c>
      <c r="B612" s="2">
        <v>4017.67</v>
      </c>
      <c r="C612" s="2">
        <v>4021.21</v>
      </c>
      <c r="D612" s="2">
        <v>4034.92</v>
      </c>
      <c r="E612" s="2">
        <v>4017.67</v>
      </c>
      <c r="F612" t="s">
        <v>165</v>
      </c>
      <c r="G612" s="3">
        <v>6.9999999999999999E-4</v>
      </c>
    </row>
    <row r="613" spans="1:7" x14ac:dyDescent="0.3">
      <c r="A613" s="1">
        <v>45853</v>
      </c>
      <c r="B613" s="2">
        <v>4019.06</v>
      </c>
      <c r="C613" s="2">
        <v>4023.99</v>
      </c>
      <c r="D613" s="2">
        <v>4042.66</v>
      </c>
      <c r="E613" s="2">
        <v>3994.26</v>
      </c>
      <c r="F613" t="s">
        <v>164</v>
      </c>
      <c r="G613" s="3">
        <v>2.9999999999999997E-4</v>
      </c>
    </row>
    <row r="614" spans="1:7" x14ac:dyDescent="0.3">
      <c r="A614" s="1">
        <v>45854</v>
      </c>
      <c r="B614" s="2">
        <v>4007.2</v>
      </c>
      <c r="C614" s="2">
        <v>4019.39</v>
      </c>
      <c r="D614" s="2">
        <v>4027.86</v>
      </c>
      <c r="E614" s="2">
        <v>3993.92</v>
      </c>
      <c r="F614" t="s">
        <v>163</v>
      </c>
      <c r="G614" s="3">
        <v>-3.0000000000000001E-3</v>
      </c>
    </row>
    <row r="615" spans="1:7" x14ac:dyDescent="0.3">
      <c r="A615" s="1">
        <v>45855</v>
      </c>
      <c r="B615" s="2">
        <v>4034.49</v>
      </c>
      <c r="C615" s="2">
        <v>4005.07</v>
      </c>
      <c r="D615" s="2">
        <v>4034.59</v>
      </c>
      <c r="E615" s="2">
        <v>4005.07</v>
      </c>
      <c r="F615" t="s">
        <v>162</v>
      </c>
      <c r="G615" s="3">
        <v>6.7999999999999996E-3</v>
      </c>
    </row>
    <row r="616" spans="1:7" x14ac:dyDescent="0.3">
      <c r="A616" s="1">
        <v>45856</v>
      </c>
      <c r="B616" s="2">
        <v>4058.55</v>
      </c>
      <c r="C616" s="2">
        <v>4039.87</v>
      </c>
      <c r="D616" s="2">
        <v>4064.64</v>
      </c>
      <c r="E616" s="2">
        <v>4039.32</v>
      </c>
      <c r="F616" t="s">
        <v>161</v>
      </c>
      <c r="G616" s="3">
        <v>6.0000000000000001E-3</v>
      </c>
    </row>
    <row r="617" spans="1:7" x14ac:dyDescent="0.3">
      <c r="A617" s="1">
        <v>45859</v>
      </c>
      <c r="B617" s="2">
        <v>4085.61</v>
      </c>
      <c r="C617" s="2">
        <v>4069.77</v>
      </c>
      <c r="D617" s="2">
        <v>4086.12</v>
      </c>
      <c r="E617" s="2">
        <v>4063.44</v>
      </c>
      <c r="F617" t="s">
        <v>160</v>
      </c>
      <c r="G617" s="3">
        <v>6.7000000000000002E-3</v>
      </c>
    </row>
    <row r="618" spans="1:7" x14ac:dyDescent="0.3">
      <c r="A618" s="1">
        <v>45860</v>
      </c>
      <c r="B618" s="2">
        <v>4118.96</v>
      </c>
      <c r="C618" s="2">
        <v>4087.34</v>
      </c>
      <c r="D618" s="2">
        <v>4119.2</v>
      </c>
      <c r="E618" s="2">
        <v>4068.34</v>
      </c>
      <c r="F618" t="s">
        <v>159</v>
      </c>
      <c r="G618" s="3">
        <v>8.2000000000000007E-3</v>
      </c>
    </row>
    <row r="619" spans="1:7" x14ac:dyDescent="0.3">
      <c r="A619" s="1">
        <v>45861</v>
      </c>
      <c r="B619" s="2">
        <v>4119.7700000000004</v>
      </c>
      <c r="C619" s="2">
        <v>4129.1499999999996</v>
      </c>
      <c r="D619" s="2">
        <v>4155.68</v>
      </c>
      <c r="E619" s="2">
        <v>4113.91</v>
      </c>
      <c r="F619" t="s">
        <v>158</v>
      </c>
      <c r="G619" s="3">
        <v>2.0000000000000001E-4</v>
      </c>
    </row>
    <row r="620" spans="1:7" x14ac:dyDescent="0.3">
      <c r="A620" s="1">
        <v>45862</v>
      </c>
      <c r="B620" s="2">
        <v>4149.04</v>
      </c>
      <c r="C620" s="2">
        <v>4116.83</v>
      </c>
      <c r="D620" s="2">
        <v>4152.43</v>
      </c>
      <c r="E620" s="2">
        <v>4111.88</v>
      </c>
      <c r="F620" t="s">
        <v>157</v>
      </c>
      <c r="G620" s="3">
        <v>7.1000000000000004E-3</v>
      </c>
    </row>
    <row r="621" spans="1:7" x14ac:dyDescent="0.3">
      <c r="A621" s="1">
        <v>45863</v>
      </c>
      <c r="B621" s="2">
        <v>4127.16</v>
      </c>
      <c r="C621" s="2">
        <v>4145.32</v>
      </c>
      <c r="D621" s="2">
        <v>4150.5</v>
      </c>
      <c r="E621" s="2">
        <v>4117.8</v>
      </c>
      <c r="F621" t="s">
        <v>156</v>
      </c>
      <c r="G621" s="3">
        <v>-5.3E-3</v>
      </c>
    </row>
    <row r="622" spans="1:7" x14ac:dyDescent="0.3">
      <c r="A622" s="1">
        <v>45866</v>
      </c>
      <c r="B622" s="2">
        <v>4135.82</v>
      </c>
      <c r="C622" s="2">
        <v>4128.2</v>
      </c>
      <c r="D622" s="2">
        <v>4146.12</v>
      </c>
      <c r="E622" s="2">
        <v>4112.97</v>
      </c>
      <c r="F622" t="s">
        <v>155</v>
      </c>
      <c r="G622" s="3">
        <v>2.0999999999999999E-3</v>
      </c>
    </row>
    <row r="623" spans="1:7" x14ac:dyDescent="0.3">
      <c r="A623" s="1">
        <v>45867</v>
      </c>
      <c r="B623" s="2">
        <v>4152.0200000000004</v>
      </c>
      <c r="C623" s="2">
        <v>4132.68</v>
      </c>
      <c r="D623" s="2">
        <v>4153.33</v>
      </c>
      <c r="E623" s="2">
        <v>4117.58</v>
      </c>
      <c r="F623" t="s">
        <v>154</v>
      </c>
      <c r="G623" s="3">
        <v>3.8999999999999998E-3</v>
      </c>
    </row>
    <row r="624" spans="1:7" x14ac:dyDescent="0.3">
      <c r="A624" s="1">
        <v>45868</v>
      </c>
      <c r="B624" s="2">
        <v>4151.24</v>
      </c>
      <c r="C624" s="2">
        <v>4148.9399999999996</v>
      </c>
      <c r="D624" s="2">
        <v>4185.21</v>
      </c>
      <c r="E624" s="2">
        <v>4127.43</v>
      </c>
      <c r="F624" t="s">
        <v>153</v>
      </c>
      <c r="G624" s="3">
        <v>-2.0000000000000001E-4</v>
      </c>
    </row>
    <row r="625" spans="1:7" x14ac:dyDescent="0.3">
      <c r="A625" s="1">
        <v>45869</v>
      </c>
      <c r="B625" s="2">
        <v>4075.59</v>
      </c>
      <c r="C625" s="2">
        <v>4141.5600000000004</v>
      </c>
      <c r="D625" s="2">
        <v>4141.82</v>
      </c>
      <c r="E625" s="2">
        <v>4063.67</v>
      </c>
      <c r="F625" t="s">
        <v>152</v>
      </c>
      <c r="G625" s="3">
        <v>-1.8200000000000001E-2</v>
      </c>
    </row>
    <row r="626" spans="1:7" x14ac:dyDescent="0.3">
      <c r="A626" s="1">
        <v>45870</v>
      </c>
      <c r="B626" s="2">
        <v>4054.93</v>
      </c>
      <c r="C626" s="2">
        <v>4069.93</v>
      </c>
      <c r="D626" s="2">
        <v>4085.35</v>
      </c>
      <c r="E626" s="2">
        <v>4040.46</v>
      </c>
      <c r="F626" t="s">
        <v>151</v>
      </c>
      <c r="G626" s="3">
        <v>-5.1000000000000004E-3</v>
      </c>
    </row>
    <row r="627" spans="1:7" x14ac:dyDescent="0.3">
      <c r="A627" s="1">
        <v>45873</v>
      </c>
      <c r="B627" s="2">
        <v>4070.7</v>
      </c>
      <c r="C627" s="2">
        <v>4037.94</v>
      </c>
      <c r="D627" s="2">
        <v>4070.7</v>
      </c>
      <c r="E627" s="2">
        <v>4037.94</v>
      </c>
      <c r="F627" t="s">
        <v>150</v>
      </c>
      <c r="G627" s="3">
        <v>3.8999999999999998E-3</v>
      </c>
    </row>
    <row r="628" spans="1:7" x14ac:dyDescent="0.3">
      <c r="A628" s="1">
        <v>45874</v>
      </c>
      <c r="B628" s="2">
        <v>4103.45</v>
      </c>
      <c r="C628" s="2">
        <v>4080.39</v>
      </c>
      <c r="D628" s="2">
        <v>4106.3</v>
      </c>
      <c r="E628" s="2">
        <v>4075.58</v>
      </c>
      <c r="F628" t="s">
        <v>149</v>
      </c>
      <c r="G628" s="3">
        <v>8.0000000000000002E-3</v>
      </c>
    </row>
    <row r="629" spans="1:7" x14ac:dyDescent="0.3">
      <c r="A629" s="1">
        <v>45875</v>
      </c>
      <c r="B629" s="2">
        <v>4113.49</v>
      </c>
      <c r="C629" s="2">
        <v>4100.43</v>
      </c>
      <c r="D629" s="2">
        <v>4116.71</v>
      </c>
      <c r="E629" s="2">
        <v>4098.3500000000004</v>
      </c>
      <c r="F629" t="s">
        <v>148</v>
      </c>
      <c r="G629" s="3">
        <v>2.3999999999999998E-3</v>
      </c>
    </row>
    <row r="630" spans="1:7" x14ac:dyDescent="0.3">
      <c r="A630" s="1">
        <v>45876</v>
      </c>
      <c r="B630" s="2">
        <v>4114.67</v>
      </c>
      <c r="C630" s="2">
        <v>4120.28</v>
      </c>
      <c r="D630" s="2">
        <v>4129.74</v>
      </c>
      <c r="E630" s="2">
        <v>4094.82</v>
      </c>
      <c r="F630" t="s">
        <v>147</v>
      </c>
      <c r="G630" s="3">
        <v>2.9999999999999997E-4</v>
      </c>
    </row>
    <row r="631" spans="1:7" x14ac:dyDescent="0.3">
      <c r="A631" s="1">
        <v>45877</v>
      </c>
      <c r="B631" s="2">
        <v>4104.97</v>
      </c>
      <c r="C631" s="2">
        <v>4109.2700000000004</v>
      </c>
      <c r="D631" s="2">
        <v>4122.21</v>
      </c>
      <c r="E631" s="2">
        <v>4097.42</v>
      </c>
      <c r="F631" t="s">
        <v>146</v>
      </c>
      <c r="G631" s="3">
        <v>-2.3999999999999998E-3</v>
      </c>
    </row>
    <row r="632" spans="1:7" x14ac:dyDescent="0.3">
      <c r="A632" s="1">
        <v>45880</v>
      </c>
      <c r="B632" s="2">
        <v>4122.51</v>
      </c>
      <c r="C632" s="2">
        <v>4110.29</v>
      </c>
      <c r="D632" s="2">
        <v>4134.25</v>
      </c>
      <c r="E632" s="2">
        <v>4103.6000000000004</v>
      </c>
      <c r="F632" t="s">
        <v>145</v>
      </c>
      <c r="G632" s="3">
        <v>4.3E-3</v>
      </c>
    </row>
    <row r="633" spans="1:7" x14ac:dyDescent="0.3">
      <c r="A633" s="1">
        <v>45881</v>
      </c>
      <c r="B633" s="2">
        <v>4143.83</v>
      </c>
      <c r="C633" s="2">
        <v>4123.58</v>
      </c>
      <c r="D633" s="2">
        <v>4153.29</v>
      </c>
      <c r="E633" s="2">
        <v>4121.22</v>
      </c>
      <c r="F633" t="s">
        <v>144</v>
      </c>
      <c r="G633" s="3">
        <v>5.1999999999999998E-3</v>
      </c>
    </row>
    <row r="634" spans="1:7" x14ac:dyDescent="0.3">
      <c r="A634" s="1">
        <v>45882</v>
      </c>
      <c r="B634" s="2">
        <v>4176.58</v>
      </c>
      <c r="C634" s="2">
        <v>4150.5</v>
      </c>
      <c r="D634" s="2">
        <v>4186.75</v>
      </c>
      <c r="E634" s="2">
        <v>4147.2</v>
      </c>
      <c r="F634" t="s">
        <v>143</v>
      </c>
      <c r="G634" s="3">
        <v>7.9000000000000008E-3</v>
      </c>
    </row>
    <row r="635" spans="1:7" x14ac:dyDescent="0.3">
      <c r="A635" s="1">
        <v>45883</v>
      </c>
      <c r="B635" s="2">
        <v>4173.3100000000004</v>
      </c>
      <c r="C635" s="2">
        <v>4179.96</v>
      </c>
      <c r="D635" s="2">
        <v>4220.3100000000004</v>
      </c>
      <c r="E635" s="2">
        <v>4165.9399999999996</v>
      </c>
      <c r="F635" t="s">
        <v>142</v>
      </c>
      <c r="G635" s="3">
        <v>-8.0000000000000004E-4</v>
      </c>
    </row>
    <row r="636" spans="1:7" x14ac:dyDescent="0.3">
      <c r="A636" s="1">
        <v>45884</v>
      </c>
      <c r="B636" s="2">
        <v>4202.3500000000004</v>
      </c>
      <c r="C636" s="2">
        <v>4162.42</v>
      </c>
      <c r="D636" s="2">
        <v>4214.7299999999996</v>
      </c>
      <c r="E636" s="2">
        <v>4157.5</v>
      </c>
      <c r="F636" t="s">
        <v>141</v>
      </c>
      <c r="G636" s="3">
        <v>7.0000000000000001E-3</v>
      </c>
    </row>
    <row r="637" spans="1:7" x14ac:dyDescent="0.3">
      <c r="A637" s="1">
        <v>45887</v>
      </c>
      <c r="B637" s="2">
        <v>4239.41</v>
      </c>
      <c r="C637" s="2">
        <v>4218.25</v>
      </c>
      <c r="D637" s="2">
        <v>4272.96</v>
      </c>
      <c r="E637" s="2">
        <v>4203.42</v>
      </c>
      <c r="F637" t="s">
        <v>33</v>
      </c>
      <c r="G637" s="3">
        <v>8.8000000000000005E-3</v>
      </c>
    </row>
    <row r="638" spans="1:7" x14ac:dyDescent="0.3">
      <c r="A638" s="1">
        <v>45888</v>
      </c>
      <c r="B638" s="2">
        <v>4223.37</v>
      </c>
      <c r="C638" s="2">
        <v>4241.7700000000004</v>
      </c>
      <c r="D638" s="2">
        <v>4264.2299999999996</v>
      </c>
      <c r="E638" s="2">
        <v>4215.21</v>
      </c>
      <c r="F638" t="s">
        <v>140</v>
      </c>
      <c r="G638" s="3">
        <v>-3.8E-3</v>
      </c>
    </row>
    <row r="639" spans="1:7" x14ac:dyDescent="0.3">
      <c r="A639" s="1">
        <v>45889</v>
      </c>
      <c r="B639" s="2">
        <v>4271.3999999999996</v>
      </c>
      <c r="C639" s="2">
        <v>4208.3999999999996</v>
      </c>
      <c r="D639" s="2">
        <v>4272.1499999999996</v>
      </c>
      <c r="E639" s="2">
        <v>4190.5600000000004</v>
      </c>
      <c r="F639" t="s">
        <v>139</v>
      </c>
      <c r="G639" s="3">
        <v>1.14E-2</v>
      </c>
    </row>
    <row r="640" spans="1:7" x14ac:dyDescent="0.3">
      <c r="A640" s="1">
        <v>45890</v>
      </c>
      <c r="B640" s="2">
        <v>4288.07</v>
      </c>
      <c r="C640" s="2">
        <v>4284.37</v>
      </c>
      <c r="D640" s="2">
        <v>4308.45</v>
      </c>
      <c r="E640" s="2">
        <v>4273.6499999999996</v>
      </c>
      <c r="F640" t="s">
        <v>138</v>
      </c>
      <c r="G640" s="3">
        <v>3.8999999999999998E-3</v>
      </c>
    </row>
    <row r="641" spans="1:7" x14ac:dyDescent="0.3">
      <c r="A641" s="1">
        <v>45891</v>
      </c>
      <c r="B641" s="2">
        <v>4378</v>
      </c>
      <c r="C641" s="2">
        <v>4287.3599999999997</v>
      </c>
      <c r="D641" s="2">
        <v>4378.3900000000003</v>
      </c>
      <c r="E641" s="2">
        <v>4287.3599999999997</v>
      </c>
      <c r="F641" t="s">
        <v>137</v>
      </c>
      <c r="G641" s="3">
        <v>2.1000000000000001E-2</v>
      </c>
    </row>
    <row r="642" spans="1:7" x14ac:dyDescent="0.3">
      <c r="A642" s="1">
        <v>45894</v>
      </c>
      <c r="B642" s="2">
        <v>4469.22</v>
      </c>
      <c r="C642" s="2">
        <v>4416.29</v>
      </c>
      <c r="D642" s="2">
        <v>4472.6499999999996</v>
      </c>
      <c r="E642" s="2">
        <v>4404.78</v>
      </c>
      <c r="F642" t="s">
        <v>136</v>
      </c>
      <c r="G642" s="3">
        <v>2.0799999999999999E-2</v>
      </c>
    </row>
    <row r="643" spans="1:7" x14ac:dyDescent="0.3">
      <c r="A643" s="1">
        <v>45895</v>
      </c>
      <c r="B643" s="2">
        <v>4452.59</v>
      </c>
      <c r="C643" s="2">
        <v>4453.3500000000004</v>
      </c>
      <c r="D643" s="2">
        <v>4476.8</v>
      </c>
      <c r="E643" s="2">
        <v>4435.53</v>
      </c>
      <c r="F643" t="s">
        <v>135</v>
      </c>
      <c r="G643" s="3">
        <v>-3.7000000000000002E-3</v>
      </c>
    </row>
    <row r="644" spans="1:7" x14ac:dyDescent="0.3">
      <c r="A644" s="1">
        <v>45896</v>
      </c>
      <c r="B644" s="2">
        <v>4386.13</v>
      </c>
      <c r="C644" s="2">
        <v>4458.84</v>
      </c>
      <c r="D644" s="2">
        <v>4494.91</v>
      </c>
      <c r="E644" s="2">
        <v>4386.13</v>
      </c>
      <c r="F644" t="s">
        <v>134</v>
      </c>
      <c r="G644" s="3">
        <v>-1.49E-2</v>
      </c>
    </row>
    <row r="645" spans="1:7" x14ac:dyDescent="0.3">
      <c r="A645" s="1">
        <v>45897</v>
      </c>
      <c r="B645" s="2">
        <v>4463.78</v>
      </c>
      <c r="C645" s="2">
        <v>4378.04</v>
      </c>
      <c r="D645" s="2">
        <v>4464.8</v>
      </c>
      <c r="E645" s="2">
        <v>4364.17</v>
      </c>
      <c r="F645" t="s">
        <v>133</v>
      </c>
      <c r="G645" s="3">
        <v>1.77E-2</v>
      </c>
    </row>
    <row r="646" spans="1:7" x14ac:dyDescent="0.3">
      <c r="A646" s="1">
        <v>45898</v>
      </c>
      <c r="B646" s="2">
        <v>4496.76</v>
      </c>
      <c r="C646" s="2">
        <v>4455.8</v>
      </c>
      <c r="D646" s="2">
        <v>4516.84</v>
      </c>
      <c r="E646" s="2">
        <v>4452.3599999999997</v>
      </c>
      <c r="F646" t="s">
        <v>132</v>
      </c>
      <c r="G646" s="3">
        <v>7.4000000000000003E-3</v>
      </c>
    </row>
    <row r="647" spans="1:7" x14ac:dyDescent="0.3">
      <c r="A647" s="1">
        <v>45901</v>
      </c>
      <c r="B647" s="2">
        <v>4523.71</v>
      </c>
      <c r="C647" s="2">
        <v>4516.88</v>
      </c>
      <c r="D647" s="2">
        <v>4528.13</v>
      </c>
      <c r="E647" s="2">
        <v>4487.53</v>
      </c>
      <c r="F647" t="s">
        <v>131</v>
      </c>
      <c r="G647" s="3">
        <v>6.0000000000000001E-3</v>
      </c>
    </row>
    <row r="648" spans="1:7" x14ac:dyDescent="0.3">
      <c r="A648" s="1">
        <v>45902</v>
      </c>
      <c r="B648" s="2">
        <v>4490.45</v>
      </c>
      <c r="C648" s="2">
        <v>4521.9799999999996</v>
      </c>
      <c r="D648" s="2">
        <v>4548.8900000000003</v>
      </c>
      <c r="E648" s="2">
        <v>4454.42</v>
      </c>
      <c r="F648" t="s">
        <v>130</v>
      </c>
      <c r="G648" s="3">
        <v>-7.4000000000000003E-3</v>
      </c>
    </row>
    <row r="649" spans="1:7" x14ac:dyDescent="0.3">
      <c r="A649" s="1">
        <v>45903</v>
      </c>
      <c r="B649" s="2">
        <v>4459.83</v>
      </c>
      <c r="C649" s="2">
        <v>4501.34</v>
      </c>
      <c r="D649" s="2">
        <v>4510.7299999999996</v>
      </c>
      <c r="E649" s="2">
        <v>4427.5200000000004</v>
      </c>
      <c r="F649" t="s">
        <v>129</v>
      </c>
      <c r="G649" s="3">
        <v>-6.7999999999999996E-3</v>
      </c>
    </row>
    <row r="650" spans="1:7" x14ac:dyDescent="0.3">
      <c r="A650" s="1">
        <v>45904</v>
      </c>
      <c r="B650" s="2">
        <v>4365.21</v>
      </c>
      <c r="C650" s="2">
        <v>4461.25</v>
      </c>
      <c r="D650" s="2">
        <v>4465.5</v>
      </c>
      <c r="E650" s="2">
        <v>4327.51</v>
      </c>
      <c r="F650" t="s">
        <v>128</v>
      </c>
      <c r="G650" s="3">
        <v>-2.12E-2</v>
      </c>
    </row>
    <row r="651" spans="1:7" x14ac:dyDescent="0.3">
      <c r="A651" s="1">
        <v>45905</v>
      </c>
      <c r="B651" s="2">
        <v>4460.32</v>
      </c>
      <c r="C651" s="2">
        <v>4365.6099999999997</v>
      </c>
      <c r="D651" s="2">
        <v>4466.5600000000004</v>
      </c>
      <c r="E651" s="2">
        <v>4350.3</v>
      </c>
      <c r="F651" t="s">
        <v>127</v>
      </c>
      <c r="G651" s="3">
        <v>2.18E-2</v>
      </c>
    </row>
    <row r="652" spans="1:7" x14ac:dyDescent="0.3">
      <c r="A652" s="1">
        <v>45908</v>
      </c>
      <c r="B652" s="2">
        <v>4467.57</v>
      </c>
      <c r="C652" s="2">
        <v>4467.17</v>
      </c>
      <c r="D652" s="2">
        <v>4482.76</v>
      </c>
      <c r="E652" s="2">
        <v>4438.07</v>
      </c>
      <c r="F652" t="s">
        <v>126</v>
      </c>
      <c r="G652" s="3">
        <v>1.6000000000000001E-3</v>
      </c>
    </row>
    <row r="653" spans="1:7" x14ac:dyDescent="0.3">
      <c r="A653" s="1">
        <v>45909</v>
      </c>
      <c r="B653" s="2">
        <v>4436.26</v>
      </c>
      <c r="C653" s="2">
        <v>4448.74</v>
      </c>
      <c r="D653" s="2">
        <v>4472.09</v>
      </c>
      <c r="E653" s="2">
        <v>4412.6899999999996</v>
      </c>
      <c r="F653" t="s">
        <v>125</v>
      </c>
      <c r="G653" s="3">
        <v>-7.0000000000000001E-3</v>
      </c>
    </row>
    <row r="654" spans="1:7" x14ac:dyDescent="0.3">
      <c r="A654" s="1">
        <v>45910</v>
      </c>
      <c r="B654" s="2">
        <v>4445.3599999999997</v>
      </c>
      <c r="C654" s="2">
        <v>4438.3</v>
      </c>
      <c r="D654" s="2">
        <v>4466.63</v>
      </c>
      <c r="E654" s="2">
        <v>4414.59</v>
      </c>
      <c r="F654" t="s">
        <v>124</v>
      </c>
      <c r="G654" s="3">
        <v>2.0999999999999999E-3</v>
      </c>
    </row>
    <row r="655" spans="1:7" x14ac:dyDescent="0.3">
      <c r="A655" s="1">
        <v>45911</v>
      </c>
      <c r="B655" s="2">
        <v>4548.03</v>
      </c>
      <c r="C655" s="2">
        <v>4438.84</v>
      </c>
      <c r="D655" s="2">
        <v>4548.03</v>
      </c>
      <c r="E655" s="2">
        <v>4427.92</v>
      </c>
      <c r="F655" t="s">
        <v>123</v>
      </c>
      <c r="G655" s="3">
        <v>2.3099999999999999E-2</v>
      </c>
    </row>
    <row r="656" spans="1:7" x14ac:dyDescent="0.3">
      <c r="A656" s="1">
        <v>45912</v>
      </c>
      <c r="B656" s="2">
        <v>4522</v>
      </c>
      <c r="C656" s="2">
        <v>4544.59</v>
      </c>
      <c r="D656" s="2">
        <v>4564.67</v>
      </c>
      <c r="E656" s="2">
        <v>4517.79</v>
      </c>
      <c r="F656" t="s">
        <v>122</v>
      </c>
      <c r="G656" s="3">
        <v>-5.7000000000000002E-3</v>
      </c>
    </row>
    <row r="657" spans="1:7" x14ac:dyDescent="0.3">
      <c r="A657" s="1">
        <v>45915</v>
      </c>
      <c r="B657" s="2">
        <v>4533.0600000000004</v>
      </c>
      <c r="C657" s="2">
        <v>4534.8900000000003</v>
      </c>
      <c r="D657" s="2">
        <v>4566.91</v>
      </c>
      <c r="E657" s="2">
        <v>4522.5</v>
      </c>
      <c r="F657" t="s">
        <v>121</v>
      </c>
      <c r="G657" s="3">
        <v>2.3999999999999998E-3</v>
      </c>
    </row>
    <row r="658" spans="1:7" x14ac:dyDescent="0.3">
      <c r="A658" s="1">
        <v>45916</v>
      </c>
      <c r="B658" s="2">
        <v>4523.34</v>
      </c>
      <c r="C658" s="2">
        <v>4539.92</v>
      </c>
      <c r="D658" s="2">
        <v>4552.42</v>
      </c>
      <c r="E658" s="2">
        <v>4494.79</v>
      </c>
      <c r="F658" t="s">
        <v>120</v>
      </c>
      <c r="G658" s="3">
        <v>-2.0999999999999999E-3</v>
      </c>
    </row>
    <row r="659" spans="1:7" x14ac:dyDescent="0.3">
      <c r="A659" s="1">
        <v>45917</v>
      </c>
      <c r="B659" s="2">
        <v>4551.0200000000004</v>
      </c>
      <c r="C659" s="2">
        <v>4517.29</v>
      </c>
      <c r="D659" s="2">
        <v>4556.03</v>
      </c>
      <c r="E659" s="2">
        <v>4503.8</v>
      </c>
      <c r="F659" t="s">
        <v>119</v>
      </c>
      <c r="G659" s="3">
        <v>6.1000000000000004E-3</v>
      </c>
    </row>
    <row r="660" spans="1:7" x14ac:dyDescent="0.3">
      <c r="A660" s="1">
        <v>45918</v>
      </c>
      <c r="B660" s="2">
        <v>4498.1099999999997</v>
      </c>
      <c r="C660" s="2">
        <v>4546.03</v>
      </c>
      <c r="D660" s="2">
        <v>4573.83</v>
      </c>
      <c r="E660" s="2">
        <v>4454.99</v>
      </c>
      <c r="F660" t="s">
        <v>118</v>
      </c>
      <c r="G660" s="3">
        <v>-1.1599999999999999E-2</v>
      </c>
    </row>
    <row r="661" spans="1:7" x14ac:dyDescent="0.3">
      <c r="A661" s="1">
        <v>45919</v>
      </c>
      <c r="B661" s="2">
        <v>4501.92</v>
      </c>
      <c r="C661" s="2">
        <v>4499.09</v>
      </c>
      <c r="D661" s="2">
        <v>4533.09</v>
      </c>
      <c r="E661" s="2">
        <v>4491.84</v>
      </c>
      <c r="F661" t="s">
        <v>117</v>
      </c>
      <c r="G661" s="3">
        <v>8.0000000000000004E-4</v>
      </c>
    </row>
    <row r="662" spans="1:7" x14ac:dyDescent="0.3">
      <c r="A662" s="1">
        <v>45922</v>
      </c>
      <c r="B662" s="2">
        <v>4522.6099999999997</v>
      </c>
      <c r="C662" s="2">
        <v>4512.0200000000004</v>
      </c>
      <c r="D662" s="2">
        <v>4523.87</v>
      </c>
      <c r="E662" s="2">
        <v>4487.13</v>
      </c>
      <c r="F662" t="s">
        <v>116</v>
      </c>
      <c r="G662" s="3">
        <v>4.5999999999999999E-3</v>
      </c>
    </row>
    <row r="663" spans="1:7" x14ac:dyDescent="0.3">
      <c r="A663" s="1">
        <v>45923</v>
      </c>
      <c r="B663" s="2">
        <v>4519.78</v>
      </c>
      <c r="C663" s="2">
        <v>4536.76</v>
      </c>
      <c r="D663" s="2">
        <v>4560.7299999999996</v>
      </c>
      <c r="E663" s="2">
        <v>4459.7299999999996</v>
      </c>
      <c r="F663" t="s">
        <v>115</v>
      </c>
      <c r="G663" s="3">
        <v>-5.9999999999999995E-4</v>
      </c>
    </row>
    <row r="664" spans="1:7" x14ac:dyDescent="0.3">
      <c r="A664" s="1">
        <v>45924</v>
      </c>
      <c r="B664" s="2">
        <v>4566.07</v>
      </c>
      <c r="C664" s="2">
        <v>4495.2700000000004</v>
      </c>
      <c r="D664" s="2">
        <v>4567.49</v>
      </c>
      <c r="E664" s="2">
        <v>4494.1099999999997</v>
      </c>
      <c r="F664" t="s">
        <v>114</v>
      </c>
      <c r="G664" s="3">
        <v>1.0200000000000001E-2</v>
      </c>
    </row>
    <row r="665" spans="1:7" x14ac:dyDescent="0.3">
      <c r="A665" s="1">
        <v>45925</v>
      </c>
      <c r="B665" s="2">
        <v>4593.49</v>
      </c>
      <c r="C665" s="2">
        <v>4563.9799999999996</v>
      </c>
      <c r="D665" s="2">
        <v>4613.95</v>
      </c>
      <c r="E665" s="2">
        <v>4558.84</v>
      </c>
      <c r="F665" t="s">
        <v>113</v>
      </c>
      <c r="G665" s="3">
        <v>6.0000000000000001E-3</v>
      </c>
    </row>
    <row r="666" spans="1:7" x14ac:dyDescent="0.3">
      <c r="A666" s="1">
        <v>45926</v>
      </c>
      <c r="B666" s="2">
        <v>4550.05</v>
      </c>
      <c r="C666" s="2">
        <v>4576.91</v>
      </c>
      <c r="D666" s="2">
        <v>4597.8500000000004</v>
      </c>
      <c r="E666" s="2">
        <v>4550.05</v>
      </c>
      <c r="F666" t="s">
        <v>112</v>
      </c>
      <c r="G666" s="3">
        <v>-9.4999999999999998E-3</v>
      </c>
    </row>
    <row r="667" spans="1:7" x14ac:dyDescent="0.3">
      <c r="A667" s="1">
        <v>45929</v>
      </c>
      <c r="B667" s="2">
        <v>4620.05</v>
      </c>
      <c r="C667" s="2">
        <v>4555.03</v>
      </c>
      <c r="D667" s="2">
        <v>4647.57</v>
      </c>
      <c r="E667" s="2">
        <v>4541.43</v>
      </c>
      <c r="F667" t="s">
        <v>111</v>
      </c>
      <c r="G667" s="3">
        <v>1.54E-2</v>
      </c>
    </row>
    <row r="668" spans="1:7" x14ac:dyDescent="0.3">
      <c r="A668" s="1">
        <v>45930</v>
      </c>
      <c r="B668" s="2">
        <v>4640.6899999999996</v>
      </c>
      <c r="C668" s="2">
        <v>4629.8999999999996</v>
      </c>
      <c r="D668" s="2">
        <v>4647.5</v>
      </c>
      <c r="E668" s="2">
        <v>4616.22</v>
      </c>
      <c r="F668" t="s">
        <v>110</v>
      </c>
      <c r="G668" s="3">
        <v>4.4999999999999997E-3</v>
      </c>
    </row>
    <row r="669" spans="1:7" x14ac:dyDescent="0.3">
      <c r="A669" s="1">
        <v>45939</v>
      </c>
      <c r="B669" s="2">
        <v>4709.4799999999996</v>
      </c>
      <c r="C669" s="2">
        <v>4662.1099999999997</v>
      </c>
      <c r="D669" s="2">
        <v>4726.34</v>
      </c>
      <c r="E669" s="2">
        <v>4651.99</v>
      </c>
      <c r="F669" t="s">
        <v>109</v>
      </c>
      <c r="G669" s="3">
        <v>1.4800000000000001E-2</v>
      </c>
    </row>
    <row r="670" spans="1:7" x14ac:dyDescent="0.3">
      <c r="A670" s="1">
        <v>45940</v>
      </c>
      <c r="B670" s="2">
        <v>4616.83</v>
      </c>
      <c r="C670" s="2">
        <v>4679.5</v>
      </c>
      <c r="D670" s="2">
        <v>4692.59</v>
      </c>
      <c r="E670" s="2">
        <v>4600.96</v>
      </c>
      <c r="F670" t="s">
        <v>108</v>
      </c>
      <c r="G670" s="3">
        <v>-1.9699999999999999E-2</v>
      </c>
    </row>
    <row r="671" spans="1:7" x14ac:dyDescent="0.3">
      <c r="A671" s="1">
        <v>45943</v>
      </c>
      <c r="B671" s="2">
        <v>4593.9799999999996</v>
      </c>
      <c r="C671" s="2">
        <v>4490.87</v>
      </c>
      <c r="D671" s="2">
        <v>4601.8100000000004</v>
      </c>
      <c r="E671" s="2">
        <v>4490.87</v>
      </c>
      <c r="F671" t="s">
        <v>107</v>
      </c>
      <c r="G671" s="3">
        <v>-5.0000000000000001E-3</v>
      </c>
    </row>
    <row r="672" spans="1:7" x14ac:dyDescent="0.3">
      <c r="A672" s="1">
        <v>45944</v>
      </c>
      <c r="B672" s="2">
        <v>4539.0600000000004</v>
      </c>
      <c r="C672" s="2">
        <v>4634.05</v>
      </c>
      <c r="D672" s="2">
        <v>4641.45</v>
      </c>
      <c r="E672" s="2">
        <v>4520.93</v>
      </c>
      <c r="F672" t="s">
        <v>106</v>
      </c>
      <c r="G672" s="3">
        <v>-1.2E-2</v>
      </c>
    </row>
    <row r="673" spans="1:7" x14ac:dyDescent="0.3">
      <c r="A673" s="1">
        <v>45945</v>
      </c>
      <c r="B673" s="2">
        <v>4606.29</v>
      </c>
      <c r="C673" s="2">
        <v>4544.24</v>
      </c>
      <c r="D673" s="2">
        <v>4608.82</v>
      </c>
      <c r="E673" s="2">
        <v>4526.83</v>
      </c>
      <c r="F673" t="s">
        <v>105</v>
      </c>
      <c r="G673" s="3">
        <v>1.4800000000000001E-2</v>
      </c>
    </row>
    <row r="674" spans="1:7" x14ac:dyDescent="0.3">
      <c r="A674" s="1">
        <v>45946</v>
      </c>
      <c r="B674" s="2">
        <v>4618.42</v>
      </c>
      <c r="C674" s="2">
        <v>4588.92</v>
      </c>
      <c r="D674" s="2">
        <v>4645.1000000000004</v>
      </c>
      <c r="E674" s="2">
        <v>4586.28</v>
      </c>
      <c r="F674" t="s">
        <v>104</v>
      </c>
      <c r="G674" s="3">
        <v>2.5999999999999999E-3</v>
      </c>
    </row>
    <row r="675" spans="1:7" x14ac:dyDescent="0.3">
      <c r="A675" s="1">
        <v>45947</v>
      </c>
      <c r="B675" s="2">
        <v>4514.2299999999996</v>
      </c>
      <c r="C675" s="2">
        <v>4610.7</v>
      </c>
      <c r="D675" s="2">
        <v>4618.5600000000004</v>
      </c>
      <c r="E675" s="2">
        <v>4509.33</v>
      </c>
      <c r="F675" t="s">
        <v>103</v>
      </c>
      <c r="G675" s="3">
        <v>-2.2599999999999999E-2</v>
      </c>
    </row>
    <row r="676" spans="1:7" x14ac:dyDescent="0.3">
      <c r="A676" s="1">
        <v>45950</v>
      </c>
      <c r="B676" s="2">
        <v>4538.22</v>
      </c>
      <c r="C676" s="2">
        <v>4558.24</v>
      </c>
      <c r="D676" s="2">
        <v>4570.4399999999996</v>
      </c>
      <c r="E676" s="2">
        <v>4520.5</v>
      </c>
      <c r="F676" t="s">
        <v>102</v>
      </c>
      <c r="G676" s="3">
        <v>5.3E-3</v>
      </c>
    </row>
    <row r="677" spans="1:7" x14ac:dyDescent="0.3">
      <c r="A677" s="1">
        <v>45951</v>
      </c>
      <c r="B677" s="2">
        <v>4607.87</v>
      </c>
      <c r="C677" s="2">
        <v>4556.12</v>
      </c>
      <c r="D677" s="2">
        <v>4615.46</v>
      </c>
      <c r="E677" s="2">
        <v>4547.93</v>
      </c>
      <c r="F677" t="s">
        <v>101</v>
      </c>
      <c r="G677" s="3">
        <v>1.5299999999999999E-2</v>
      </c>
    </row>
    <row r="678" spans="1:7" x14ac:dyDescent="0.3">
      <c r="A678" s="1">
        <v>45952</v>
      </c>
      <c r="B678" s="2">
        <v>4592.57</v>
      </c>
      <c r="C678" s="2">
        <v>4576.03</v>
      </c>
      <c r="D678" s="2">
        <v>4603.49</v>
      </c>
      <c r="E678" s="2">
        <v>4567.24</v>
      </c>
      <c r="F678" t="s">
        <v>100</v>
      </c>
      <c r="G678" s="3">
        <v>-3.3E-3</v>
      </c>
    </row>
    <row r="679" spans="1:7" x14ac:dyDescent="0.3">
      <c r="A679" s="1">
        <v>45953</v>
      </c>
      <c r="B679" s="2">
        <v>4606.34</v>
      </c>
      <c r="C679" s="2">
        <v>4578.7</v>
      </c>
      <c r="D679" s="2">
        <v>4611.34</v>
      </c>
      <c r="E679" s="2">
        <v>4541.6899999999996</v>
      </c>
      <c r="F679" t="s">
        <v>99</v>
      </c>
      <c r="G679" s="3">
        <v>3.0000000000000001E-3</v>
      </c>
    </row>
    <row r="680" spans="1:7" x14ac:dyDescent="0.3">
      <c r="A680" s="1">
        <v>45954</v>
      </c>
      <c r="B680" s="2">
        <v>4660.68</v>
      </c>
      <c r="C680" s="2">
        <v>4622.79</v>
      </c>
      <c r="D680" s="2">
        <v>4660.68</v>
      </c>
      <c r="E680" s="2">
        <v>4622.79</v>
      </c>
      <c r="F680" t="s">
        <v>98</v>
      </c>
      <c r="G680" s="3">
        <v>1.18E-2</v>
      </c>
    </row>
    <row r="681" spans="1:7" x14ac:dyDescent="0.3">
      <c r="A681" s="1">
        <v>45957</v>
      </c>
      <c r="B681" s="2">
        <v>4716.0200000000004</v>
      </c>
      <c r="C681" s="2">
        <v>4699.38</v>
      </c>
      <c r="D681" s="2">
        <v>4720.43</v>
      </c>
      <c r="E681" s="2">
        <v>4687.6899999999996</v>
      </c>
      <c r="F681" t="s">
        <v>97</v>
      </c>
      <c r="G681" s="3">
        <v>1.1900000000000001E-2</v>
      </c>
    </row>
    <row r="682" spans="1:7" x14ac:dyDescent="0.3">
      <c r="A682" s="1">
        <v>45958</v>
      </c>
      <c r="B682" s="2">
        <v>4691.97</v>
      </c>
      <c r="C682" s="2">
        <v>4697.7299999999996</v>
      </c>
      <c r="D682" s="2">
        <v>4734.32</v>
      </c>
      <c r="E682" s="2">
        <v>4679.2299999999996</v>
      </c>
      <c r="F682" t="s">
        <v>96</v>
      </c>
      <c r="G682" s="3">
        <v>-5.1000000000000004E-3</v>
      </c>
    </row>
    <row r="683" spans="1:7" x14ac:dyDescent="0.3">
      <c r="A683" s="1">
        <v>45959</v>
      </c>
      <c r="B683" s="2">
        <v>4747.84</v>
      </c>
      <c r="C683" s="2">
        <v>4701.04</v>
      </c>
      <c r="D683" s="2">
        <v>4747.84</v>
      </c>
      <c r="E683" s="2">
        <v>4697.2700000000004</v>
      </c>
      <c r="F683" t="s">
        <v>95</v>
      </c>
      <c r="G683" s="3">
        <v>1.1900000000000001E-2</v>
      </c>
    </row>
    <row r="684" spans="1:7" x14ac:dyDescent="0.3">
      <c r="A684" s="1">
        <v>45960</v>
      </c>
      <c r="B684" s="2">
        <v>4709.91</v>
      </c>
      <c r="C684" s="2">
        <v>4735.9799999999996</v>
      </c>
      <c r="D684" s="2">
        <v>4761.83</v>
      </c>
      <c r="E684" s="2">
        <v>4706.45</v>
      </c>
      <c r="F684" t="s">
        <v>94</v>
      </c>
      <c r="G684" s="3">
        <v>-8.0000000000000002E-3</v>
      </c>
    </row>
    <row r="685" spans="1:7" x14ac:dyDescent="0.3">
      <c r="A685" s="1">
        <v>45961</v>
      </c>
      <c r="B685" s="2">
        <v>4640.67</v>
      </c>
      <c r="C685" s="2">
        <v>4702.49</v>
      </c>
      <c r="D685" s="2">
        <v>4706.1400000000003</v>
      </c>
      <c r="E685" s="2">
        <v>4640.67</v>
      </c>
      <c r="F685" t="s">
        <v>93</v>
      </c>
      <c r="G685" s="3">
        <v>-1.47E-2</v>
      </c>
    </row>
    <row r="686" spans="1:7" x14ac:dyDescent="0.3">
      <c r="A686" s="1">
        <v>45964</v>
      </c>
      <c r="B686" s="2">
        <v>4653.3999999999996</v>
      </c>
      <c r="C686" s="2">
        <v>4636.7299999999996</v>
      </c>
      <c r="D686" s="2">
        <v>4653.3999999999996</v>
      </c>
      <c r="E686" s="2">
        <v>4595.7299999999996</v>
      </c>
      <c r="F686" t="s">
        <v>92</v>
      </c>
      <c r="G686" s="3">
        <v>2.7000000000000001E-3</v>
      </c>
    </row>
    <row r="687" spans="1:7" x14ac:dyDescent="0.3">
      <c r="A687" s="1">
        <v>45965</v>
      </c>
      <c r="B687" s="2">
        <v>4618.7</v>
      </c>
      <c r="C687" s="2">
        <v>4649.3500000000004</v>
      </c>
      <c r="D687" s="2">
        <v>4665.32</v>
      </c>
      <c r="E687" s="2">
        <v>4595.07</v>
      </c>
      <c r="F687" t="s">
        <v>91</v>
      </c>
      <c r="G687" s="3">
        <v>-7.4999999999999997E-3</v>
      </c>
    </row>
    <row r="688" spans="1:7" x14ac:dyDescent="0.3">
      <c r="A688" s="1">
        <v>45966</v>
      </c>
      <c r="B688" s="2">
        <v>4627.26</v>
      </c>
      <c r="C688" s="2">
        <v>4562.1099999999997</v>
      </c>
      <c r="D688" s="2">
        <v>4642.6099999999997</v>
      </c>
      <c r="E688" s="2">
        <v>4558.76</v>
      </c>
      <c r="F688" t="s">
        <v>90</v>
      </c>
      <c r="G688" s="3">
        <v>1.9E-3</v>
      </c>
    </row>
    <row r="689" spans="1:7" x14ac:dyDescent="0.3">
      <c r="A689" s="1">
        <v>45967</v>
      </c>
      <c r="B689" s="2">
        <v>4693.3999999999996</v>
      </c>
      <c r="C689" s="2">
        <v>4642.01</v>
      </c>
      <c r="D689" s="2">
        <v>4698.09</v>
      </c>
      <c r="E689" s="2">
        <v>4642.01</v>
      </c>
      <c r="F689" t="s">
        <v>89</v>
      </c>
      <c r="G689" s="3">
        <v>1.43E-2</v>
      </c>
    </row>
    <row r="690" spans="1:7" x14ac:dyDescent="0.3">
      <c r="A690" s="1">
        <v>45968</v>
      </c>
      <c r="B690" s="2">
        <v>4678.79</v>
      </c>
      <c r="C690" s="2">
        <v>4673.76</v>
      </c>
      <c r="D690" s="2">
        <v>4701.37</v>
      </c>
      <c r="E690" s="2">
        <v>4666.04</v>
      </c>
      <c r="F690" t="s">
        <v>88</v>
      </c>
      <c r="G690" s="3">
        <v>-3.0999999999999999E-3</v>
      </c>
    </row>
    <row r="691" spans="1:7" x14ac:dyDescent="0.3">
      <c r="A691" s="1">
        <v>45971</v>
      </c>
      <c r="B691" s="2">
        <v>4695.05</v>
      </c>
      <c r="C691" s="2">
        <v>4688.12</v>
      </c>
      <c r="D691" s="2">
        <v>4695.18</v>
      </c>
      <c r="E691" s="2">
        <v>4654.21</v>
      </c>
      <c r="F691" t="s">
        <v>87</v>
      </c>
      <c r="G691" s="3">
        <v>3.5000000000000001E-3</v>
      </c>
    </row>
    <row r="692" spans="1:7" x14ac:dyDescent="0.3">
      <c r="A692" s="1">
        <v>45972</v>
      </c>
      <c r="B692" s="2">
        <v>4652.17</v>
      </c>
      <c r="C692" s="2">
        <v>4706.34</v>
      </c>
      <c r="D692" s="2">
        <v>4707.13</v>
      </c>
      <c r="E692" s="2">
        <v>4648.49</v>
      </c>
      <c r="F692" t="s">
        <v>86</v>
      </c>
      <c r="G692" s="3">
        <v>-9.1000000000000004E-3</v>
      </c>
    </row>
    <row r="693" spans="1:7" x14ac:dyDescent="0.3">
      <c r="A693" s="1">
        <v>45973</v>
      </c>
      <c r="B693" s="2">
        <v>4645.91</v>
      </c>
      <c r="C693" s="2">
        <v>4643.5600000000004</v>
      </c>
      <c r="D693" s="2">
        <v>4669.6099999999997</v>
      </c>
      <c r="E693" s="2">
        <v>4620.99</v>
      </c>
      <c r="F693" t="s">
        <v>85</v>
      </c>
      <c r="G693" s="3">
        <v>-1.2999999999999999E-3</v>
      </c>
    </row>
    <row r="694" spans="1:7" x14ac:dyDescent="0.3">
      <c r="A694" s="1">
        <v>45974</v>
      </c>
      <c r="B694" s="2">
        <v>4702.07</v>
      </c>
      <c r="C694" s="2">
        <v>4643.79</v>
      </c>
      <c r="D694" s="2">
        <v>4703.49</v>
      </c>
      <c r="E694" s="2">
        <v>4643.79</v>
      </c>
      <c r="F694" t="s">
        <v>84</v>
      </c>
      <c r="G694" s="3">
        <v>1.21E-2</v>
      </c>
    </row>
    <row r="695" spans="1:7" x14ac:dyDescent="0.3">
      <c r="A695" s="1">
        <v>45975</v>
      </c>
      <c r="B695" s="2">
        <v>4628.1400000000003</v>
      </c>
      <c r="C695" s="2">
        <v>4663.32</v>
      </c>
      <c r="D695" s="2">
        <v>4684.26</v>
      </c>
      <c r="E695" s="2">
        <v>4628.0200000000004</v>
      </c>
      <c r="F695" t="s">
        <v>83</v>
      </c>
      <c r="G695" s="3">
        <v>-1.5699999999999999E-2</v>
      </c>
    </row>
    <row r="696" spans="1:7" x14ac:dyDescent="0.3">
      <c r="A696" s="1">
        <v>45978</v>
      </c>
      <c r="B696" s="2">
        <v>4598.05</v>
      </c>
      <c r="C696" s="2">
        <v>4616.8100000000004</v>
      </c>
      <c r="D696" s="2">
        <v>4624.8999999999996</v>
      </c>
      <c r="E696" s="2">
        <v>4580.26</v>
      </c>
      <c r="F696" t="s">
        <v>82</v>
      </c>
      <c r="G696" s="3">
        <v>-6.4999999999999997E-3</v>
      </c>
    </row>
    <row r="697" spans="1:7" x14ac:dyDescent="0.3">
      <c r="A697" s="1">
        <v>45979</v>
      </c>
      <c r="B697" s="2">
        <v>4568.1899999999996</v>
      </c>
      <c r="C697" s="2">
        <v>4584.79</v>
      </c>
      <c r="D697" s="2">
        <v>4606.62</v>
      </c>
      <c r="E697" s="2">
        <v>4552.8</v>
      </c>
      <c r="F697" t="s">
        <v>81</v>
      </c>
      <c r="G697" s="3">
        <v>-6.4999999999999997E-3</v>
      </c>
    </row>
    <row r="698" spans="1:7" x14ac:dyDescent="0.3">
      <c r="A698" s="1">
        <v>45980</v>
      </c>
      <c r="B698" s="2">
        <v>4588.29</v>
      </c>
      <c r="C698" s="2">
        <v>4568.04</v>
      </c>
      <c r="D698" s="2">
        <v>4607.8599999999997</v>
      </c>
      <c r="E698" s="2">
        <v>4568.04</v>
      </c>
      <c r="F698" t="s">
        <v>80</v>
      </c>
      <c r="G698" s="3">
        <v>4.4000000000000003E-3</v>
      </c>
    </row>
    <row r="699" spans="1:7" x14ac:dyDescent="0.3">
      <c r="A699" s="1">
        <v>45981</v>
      </c>
      <c r="B699" s="2">
        <v>4564.95</v>
      </c>
      <c r="C699" s="2">
        <v>4619.54</v>
      </c>
      <c r="D699" s="2">
        <v>4620.6499999999996</v>
      </c>
      <c r="E699" s="2">
        <v>4560.18</v>
      </c>
      <c r="F699" t="s">
        <v>79</v>
      </c>
      <c r="G699" s="3">
        <v>-5.1000000000000004E-3</v>
      </c>
    </row>
    <row r="700" spans="1:7" x14ac:dyDescent="0.3">
      <c r="A700" s="1">
        <v>45982</v>
      </c>
      <c r="B700" s="2">
        <v>4453.6099999999997</v>
      </c>
      <c r="C700" s="2">
        <v>4513.3900000000003</v>
      </c>
      <c r="D700" s="2">
        <v>4527.04</v>
      </c>
      <c r="E700" s="2">
        <v>4453.18</v>
      </c>
      <c r="F700" t="s">
        <v>78</v>
      </c>
      <c r="G700" s="3">
        <v>-2.4400000000000002E-2</v>
      </c>
    </row>
    <row r="701" spans="1:7" x14ac:dyDescent="0.3">
      <c r="A701" s="1">
        <v>45985</v>
      </c>
      <c r="B701" s="2">
        <v>4448.05</v>
      </c>
      <c r="C701" s="2">
        <v>4473.16</v>
      </c>
      <c r="D701" s="2">
        <v>4478.8100000000004</v>
      </c>
      <c r="E701" s="2">
        <v>4421.8100000000004</v>
      </c>
      <c r="F701" t="s">
        <v>77</v>
      </c>
      <c r="G701" s="3">
        <v>-1.1999999999999999E-3</v>
      </c>
    </row>
    <row r="702" spans="1:7" x14ac:dyDescent="0.3">
      <c r="A702" s="1">
        <v>45986</v>
      </c>
      <c r="B702" s="2">
        <v>4490.3999999999996</v>
      </c>
      <c r="C702" s="2">
        <v>4475.84</v>
      </c>
      <c r="D702" s="2">
        <v>4510.7700000000004</v>
      </c>
      <c r="E702" s="2">
        <v>4467.3500000000004</v>
      </c>
      <c r="F702" t="s">
        <v>76</v>
      </c>
      <c r="G702" s="3">
        <v>9.4999999999999998E-3</v>
      </c>
    </row>
    <row r="703" spans="1:7" x14ac:dyDescent="0.3">
      <c r="A703" s="1">
        <v>45987</v>
      </c>
      <c r="B703" s="2">
        <v>4517.63</v>
      </c>
      <c r="C703" s="2">
        <v>4490.2</v>
      </c>
      <c r="D703" s="2">
        <v>4538.1400000000003</v>
      </c>
      <c r="E703" s="2">
        <v>4485.7</v>
      </c>
      <c r="F703" t="s">
        <v>75</v>
      </c>
      <c r="G703" s="3">
        <v>6.1000000000000004E-3</v>
      </c>
    </row>
    <row r="704" spans="1:7" x14ac:dyDescent="0.3">
      <c r="A704" s="1">
        <v>45988</v>
      </c>
      <c r="B704" s="2">
        <v>4515.3999999999996</v>
      </c>
      <c r="C704" s="2">
        <v>4520.01</v>
      </c>
      <c r="D704" s="2">
        <v>4559.22</v>
      </c>
      <c r="E704" s="2">
        <v>4509.8599999999997</v>
      </c>
      <c r="F704" t="s">
        <v>74</v>
      </c>
      <c r="G704" s="3">
        <v>-5.0000000000000001E-4</v>
      </c>
    </row>
    <row r="705" spans="1:7" x14ac:dyDescent="0.3">
      <c r="A705" s="1">
        <v>45989</v>
      </c>
      <c r="B705" s="2">
        <v>4526.66</v>
      </c>
      <c r="C705" s="2">
        <v>4511.5</v>
      </c>
      <c r="D705" s="2">
        <v>4531.72</v>
      </c>
      <c r="E705" s="2">
        <v>4492.43</v>
      </c>
      <c r="F705" t="s">
        <v>73</v>
      </c>
      <c r="G705" s="3">
        <v>2.5000000000000001E-3</v>
      </c>
    </row>
    <row r="706" spans="1:7" x14ac:dyDescent="0.3">
      <c r="A706" s="1">
        <v>45992</v>
      </c>
      <c r="B706" s="2">
        <v>4576.49</v>
      </c>
      <c r="C706" s="2">
        <v>4539.1899999999996</v>
      </c>
      <c r="D706" s="2">
        <v>4576.97</v>
      </c>
      <c r="E706" s="2">
        <v>4531.29</v>
      </c>
      <c r="F706" t="s">
        <v>72</v>
      </c>
      <c r="G706" s="3">
        <v>1.0999999999999999E-2</v>
      </c>
    </row>
    <row r="707" spans="1:7" x14ac:dyDescent="0.3">
      <c r="A707" s="1">
        <v>45993</v>
      </c>
      <c r="B707" s="2">
        <v>4554.33</v>
      </c>
      <c r="C707" s="2">
        <v>4571.91</v>
      </c>
      <c r="D707" s="2">
        <v>4575.49</v>
      </c>
      <c r="E707" s="2">
        <v>4539.43</v>
      </c>
      <c r="F707" t="s">
        <v>71</v>
      </c>
      <c r="G707" s="3">
        <v>-4.7999999999999996E-3</v>
      </c>
    </row>
    <row r="708" spans="1:7" x14ac:dyDescent="0.3">
      <c r="A708" s="1">
        <v>45994</v>
      </c>
      <c r="B708" s="2">
        <v>4531.05</v>
      </c>
      <c r="C708" s="2">
        <v>4554.59</v>
      </c>
      <c r="D708" s="2">
        <v>4569.82</v>
      </c>
      <c r="E708" s="2">
        <v>4523.5</v>
      </c>
      <c r="F708" t="s">
        <v>70</v>
      </c>
      <c r="G708" s="3">
        <v>-5.1000000000000004E-3</v>
      </c>
    </row>
    <row r="709" spans="1:7" x14ac:dyDescent="0.3">
      <c r="A709" s="1">
        <v>45995</v>
      </c>
      <c r="B709" s="2">
        <v>4546.57</v>
      </c>
      <c r="C709" s="2">
        <v>4533.6000000000004</v>
      </c>
      <c r="D709" s="2">
        <v>4557.42</v>
      </c>
      <c r="E709" s="2">
        <v>4514.1899999999996</v>
      </c>
      <c r="F709" t="s">
        <v>69</v>
      </c>
      <c r="G709" s="3">
        <v>3.3999999999999998E-3</v>
      </c>
    </row>
    <row r="710" spans="1:7" x14ac:dyDescent="0.3">
      <c r="A710" s="1">
        <v>45996</v>
      </c>
      <c r="B710" s="2">
        <v>4584.54</v>
      </c>
      <c r="C710" s="2">
        <v>4547.91</v>
      </c>
      <c r="D710" s="2">
        <v>4593.83</v>
      </c>
      <c r="E710" s="2">
        <v>4535.0200000000004</v>
      </c>
      <c r="F710" t="s">
        <v>68</v>
      </c>
      <c r="G710" s="3">
        <v>8.3999999999999995E-3</v>
      </c>
    </row>
    <row r="711" spans="1:7" x14ac:dyDescent="0.3">
      <c r="A711" s="1">
        <v>45999</v>
      </c>
      <c r="B711" s="2">
        <v>4621.75</v>
      </c>
      <c r="C711" s="2">
        <v>4593.1400000000003</v>
      </c>
      <c r="D711" s="2">
        <v>4640.63</v>
      </c>
      <c r="E711" s="2">
        <v>4592.74</v>
      </c>
      <c r="F711" t="s">
        <v>67</v>
      </c>
      <c r="G711" s="3">
        <v>8.0999999999999996E-3</v>
      </c>
    </row>
    <row r="712" spans="1:7" x14ac:dyDescent="0.3">
      <c r="A712" s="1">
        <v>46000</v>
      </c>
      <c r="B712" s="2">
        <v>4598.22</v>
      </c>
      <c r="C712" s="2">
        <v>4611.38</v>
      </c>
      <c r="D712" s="2">
        <v>4628.71</v>
      </c>
      <c r="E712" s="2">
        <v>4584.25</v>
      </c>
      <c r="F712" t="s">
        <v>66</v>
      </c>
      <c r="G712" s="3">
        <v>-5.1000000000000004E-3</v>
      </c>
    </row>
    <row r="713" spans="1:7" x14ac:dyDescent="0.3">
      <c r="A713" s="1">
        <v>46001</v>
      </c>
      <c r="B713" s="2">
        <v>4591.83</v>
      </c>
      <c r="C713" s="2">
        <v>4586.25</v>
      </c>
      <c r="D713" s="2">
        <v>4598.54</v>
      </c>
      <c r="E713" s="2">
        <v>4549.08</v>
      </c>
      <c r="F713" t="s">
        <v>65</v>
      </c>
      <c r="G713" s="3">
        <v>-1.4E-3</v>
      </c>
    </row>
    <row r="714" spans="1:7" x14ac:dyDescent="0.3">
      <c r="A714" s="1">
        <v>46002</v>
      </c>
      <c r="B714" s="2">
        <v>4552.18</v>
      </c>
      <c r="C714" s="2">
        <v>4597.1899999999996</v>
      </c>
      <c r="D714" s="2">
        <v>4610.28</v>
      </c>
      <c r="E714" s="2">
        <v>4547.1400000000003</v>
      </c>
      <c r="F714" t="s">
        <v>64</v>
      </c>
      <c r="G714" s="3">
        <v>-8.6E-3</v>
      </c>
    </row>
    <row r="715" spans="1:7" x14ac:dyDescent="0.3">
      <c r="A715" s="1">
        <v>46003</v>
      </c>
      <c r="B715" s="2">
        <v>4580.95</v>
      </c>
      <c r="C715" s="2">
        <v>4558.74</v>
      </c>
      <c r="D715" s="2">
        <v>4583.68</v>
      </c>
      <c r="E715" s="2">
        <v>4530.78</v>
      </c>
      <c r="F715" t="s">
        <v>63</v>
      </c>
      <c r="G715" s="3">
        <v>6.3E-3</v>
      </c>
    </row>
    <row r="716" spans="1:7" x14ac:dyDescent="0.3">
      <c r="A716" s="1">
        <v>46006</v>
      </c>
      <c r="B716" s="2">
        <v>4552.0600000000004</v>
      </c>
      <c r="C716" s="2">
        <v>4550</v>
      </c>
      <c r="D716" s="2">
        <v>4595.05</v>
      </c>
      <c r="E716" s="2">
        <v>4548.4399999999996</v>
      </c>
      <c r="F716" t="s">
        <v>62</v>
      </c>
      <c r="G716" s="3">
        <v>-6.3E-3</v>
      </c>
    </row>
    <row r="717" spans="1:7" x14ac:dyDescent="0.3">
      <c r="A717" s="1">
        <v>46007</v>
      </c>
      <c r="B717" s="2">
        <v>4497.55</v>
      </c>
      <c r="C717" s="2">
        <v>4542.42</v>
      </c>
      <c r="D717" s="2">
        <v>4553.08</v>
      </c>
      <c r="E717" s="2">
        <v>4484.2700000000004</v>
      </c>
      <c r="F717" t="s">
        <v>61</v>
      </c>
      <c r="G717" s="3">
        <v>-1.2E-2</v>
      </c>
    </row>
    <row r="718" spans="1:7" x14ac:dyDescent="0.3">
      <c r="A718" s="1">
        <v>46008</v>
      </c>
      <c r="B718" s="2">
        <v>4579.88</v>
      </c>
      <c r="C718" s="2">
        <v>4499.7700000000004</v>
      </c>
      <c r="D718" s="2">
        <v>4594.66</v>
      </c>
      <c r="E718" s="2">
        <v>4498.93</v>
      </c>
      <c r="F718" t="s">
        <v>60</v>
      </c>
      <c r="G718" s="3">
        <v>1.83E-2</v>
      </c>
    </row>
    <row r="719" spans="1:7" x14ac:dyDescent="0.3">
      <c r="A719" s="1">
        <v>46009</v>
      </c>
      <c r="B719" s="2">
        <v>4552.79</v>
      </c>
      <c r="C719" s="2">
        <v>4553.9799999999996</v>
      </c>
      <c r="D719" s="2">
        <v>4571.97</v>
      </c>
      <c r="E719" s="2">
        <v>4544.1400000000003</v>
      </c>
      <c r="F719" t="s">
        <v>59</v>
      </c>
      <c r="G719" s="3">
        <v>-5.8999999999999999E-3</v>
      </c>
    </row>
    <row r="720" spans="1:7" x14ac:dyDescent="0.3">
      <c r="A720" s="1">
        <v>46010</v>
      </c>
      <c r="B720" s="2">
        <v>4568.18</v>
      </c>
      <c r="C720" s="2">
        <v>4561.37</v>
      </c>
      <c r="D720" s="2">
        <v>4591.09</v>
      </c>
      <c r="E720" s="2">
        <v>4546.8500000000004</v>
      </c>
      <c r="F720" t="s">
        <v>58</v>
      </c>
      <c r="G720" s="3">
        <v>3.3999999999999998E-3</v>
      </c>
    </row>
    <row r="721" spans="1:7" x14ac:dyDescent="0.3">
      <c r="A721" s="1">
        <v>46013</v>
      </c>
      <c r="B721" s="2">
        <v>4611.62</v>
      </c>
      <c r="C721" s="2">
        <v>4587.67</v>
      </c>
      <c r="D721" s="2">
        <v>4615.87</v>
      </c>
      <c r="E721" s="2">
        <v>4587.67</v>
      </c>
      <c r="F721" t="s">
        <v>57</v>
      </c>
      <c r="G721" s="3">
        <v>9.4999999999999998E-3</v>
      </c>
    </row>
    <row r="722" spans="1:7" x14ac:dyDescent="0.3">
      <c r="A722" s="1">
        <v>46014</v>
      </c>
      <c r="B722" s="2">
        <v>4620.7299999999996</v>
      </c>
      <c r="C722" s="2">
        <v>4616.03</v>
      </c>
      <c r="D722" s="2">
        <v>4644.53</v>
      </c>
      <c r="E722" s="2">
        <v>4607.8</v>
      </c>
      <c r="F722" t="s">
        <v>56</v>
      </c>
      <c r="G722" s="3">
        <v>2E-3</v>
      </c>
    </row>
    <row r="723" spans="1:7" x14ac:dyDescent="0.3">
      <c r="A723" s="1">
        <v>46015</v>
      </c>
      <c r="B723" s="2">
        <v>4634.0600000000004</v>
      </c>
      <c r="C723" s="2">
        <v>4623.68</v>
      </c>
      <c r="D723" s="2">
        <v>4639.43</v>
      </c>
      <c r="E723" s="2">
        <v>4602.1400000000003</v>
      </c>
      <c r="F723" t="s">
        <v>55</v>
      </c>
      <c r="G723" s="3">
        <v>2.8999999999999998E-3</v>
      </c>
    </row>
    <row r="724" spans="1:7" x14ac:dyDescent="0.3">
      <c r="A724" s="1">
        <v>46016</v>
      </c>
      <c r="B724" s="2">
        <v>4642.54</v>
      </c>
      <c r="C724" s="2">
        <v>4629.32</v>
      </c>
      <c r="D724" s="2">
        <v>4651.1499999999996</v>
      </c>
      <c r="E724" s="2">
        <v>4621.92</v>
      </c>
      <c r="F724" t="s">
        <v>54</v>
      </c>
      <c r="G724" s="3">
        <v>1.8E-3</v>
      </c>
    </row>
    <row r="725" spans="1:7" x14ac:dyDescent="0.3">
      <c r="A725" s="1">
        <v>46017</v>
      </c>
      <c r="B725" s="2">
        <v>4657.24</v>
      </c>
      <c r="C725" s="2">
        <v>4639.79</v>
      </c>
      <c r="D725" s="2">
        <v>4676.13</v>
      </c>
      <c r="E725" s="2">
        <v>4635.1000000000004</v>
      </c>
      <c r="F725" t="s">
        <v>53</v>
      </c>
      <c r="G725" s="3">
        <v>3.2000000000000002E-3</v>
      </c>
    </row>
    <row r="726" spans="1:7" x14ac:dyDescent="0.3">
      <c r="A726" s="1">
        <v>46020</v>
      </c>
      <c r="B726" s="2">
        <v>4639.37</v>
      </c>
      <c r="C726" s="2">
        <v>4658.2700000000004</v>
      </c>
      <c r="D726" s="2">
        <v>4672.04</v>
      </c>
      <c r="E726" s="2">
        <v>4629.0600000000004</v>
      </c>
      <c r="F726" t="s">
        <v>52</v>
      </c>
      <c r="G726" s="3">
        <v>-3.8E-3</v>
      </c>
    </row>
    <row r="727" spans="1:7" x14ac:dyDescent="0.3">
      <c r="A727" s="1">
        <v>46021</v>
      </c>
      <c r="B727" s="2">
        <v>4651.28</v>
      </c>
      <c r="C727" s="2">
        <v>4617.32</v>
      </c>
      <c r="D727" s="2">
        <v>4664.33</v>
      </c>
      <c r="E727" s="2">
        <v>4616.63</v>
      </c>
      <c r="F727" t="s">
        <v>51</v>
      </c>
      <c r="G727" s="3">
        <v>2.5999999999999999E-3</v>
      </c>
    </row>
    <row r="728" spans="1:7" x14ac:dyDescent="0.3">
      <c r="A728" s="1">
        <v>46022</v>
      </c>
      <c r="B728" s="2">
        <v>4629.9399999999996</v>
      </c>
      <c r="C728" s="2">
        <v>4656.4799999999996</v>
      </c>
      <c r="D728" s="2">
        <v>4667.05</v>
      </c>
      <c r="E728" s="2">
        <v>4622.1000000000004</v>
      </c>
      <c r="F728" t="s">
        <v>50</v>
      </c>
      <c r="G728" s="3">
        <v>-4.5999999999999999E-3</v>
      </c>
    </row>
    <row r="729" spans="1:7" x14ac:dyDescent="0.3">
      <c r="A729" s="1">
        <v>46027</v>
      </c>
      <c r="B729" s="2">
        <v>4717.75</v>
      </c>
      <c r="C729" s="2">
        <v>4661.62</v>
      </c>
      <c r="D729" s="2">
        <v>4721.6400000000003</v>
      </c>
      <c r="E729" s="2">
        <v>4661.62</v>
      </c>
      <c r="F729" t="s">
        <v>49</v>
      </c>
      <c r="G729" s="3">
        <v>1.9E-2</v>
      </c>
    </row>
    <row r="730" spans="1:7" x14ac:dyDescent="0.3">
      <c r="A730" s="1">
        <v>46028</v>
      </c>
      <c r="B730" s="2">
        <v>4790.6899999999996</v>
      </c>
      <c r="C730" s="2">
        <v>4719.21</v>
      </c>
      <c r="D730" s="2">
        <v>4790.6899999999996</v>
      </c>
      <c r="E730" s="2">
        <v>4718.01</v>
      </c>
      <c r="F730" t="s">
        <v>48</v>
      </c>
      <c r="G730" s="3">
        <v>1.55E-2</v>
      </c>
    </row>
    <row r="731" spans="1:7" x14ac:dyDescent="0.3">
      <c r="A731" s="1">
        <v>46029</v>
      </c>
      <c r="B731" s="2">
        <v>4776.67</v>
      </c>
      <c r="C731" s="2">
        <v>4796.93</v>
      </c>
      <c r="D731" s="2">
        <v>4802.6000000000004</v>
      </c>
      <c r="E731" s="2">
        <v>4751.07</v>
      </c>
      <c r="F731" t="s">
        <v>47</v>
      </c>
      <c r="G731" s="3">
        <v>-2.8999999999999998E-3</v>
      </c>
    </row>
    <row r="732" spans="1:7" x14ac:dyDescent="0.3">
      <c r="A732" s="1">
        <v>46030</v>
      </c>
      <c r="B732" s="2">
        <v>4737.6499999999996</v>
      </c>
      <c r="C732" s="2">
        <v>4761.01</v>
      </c>
      <c r="D732" s="2">
        <v>4765.49</v>
      </c>
      <c r="E732" s="2">
        <v>4717.01</v>
      </c>
      <c r="F732" t="s">
        <v>46</v>
      </c>
      <c r="G732" s="3">
        <v>-8.2000000000000007E-3</v>
      </c>
    </row>
    <row r="733" spans="1:7" x14ac:dyDescent="0.3">
      <c r="A733" s="1">
        <v>46031</v>
      </c>
      <c r="B733" s="2">
        <v>4758.92</v>
      </c>
      <c r="C733" s="2">
        <v>4725.96</v>
      </c>
      <c r="D733" s="2">
        <v>4771.43</v>
      </c>
      <c r="E733" s="2">
        <v>4719.13</v>
      </c>
      <c r="F733" t="s">
        <v>45</v>
      </c>
      <c r="G733" s="3">
        <v>4.4999999999999997E-3</v>
      </c>
    </row>
    <row r="734" spans="1:7" x14ac:dyDescent="0.3">
      <c r="A734" s="1">
        <v>46034</v>
      </c>
      <c r="B734" s="2">
        <v>4789.92</v>
      </c>
      <c r="C734" s="2">
        <v>4769.6499999999996</v>
      </c>
      <c r="D734" s="2">
        <v>4795.93</v>
      </c>
      <c r="E734" s="2">
        <v>4737.57</v>
      </c>
      <c r="F734" t="s">
        <v>44</v>
      </c>
      <c r="G734" s="3">
        <v>6.4999999999999997E-3</v>
      </c>
    </row>
    <row r="735" spans="1:7" x14ac:dyDescent="0.3">
      <c r="A735" s="1">
        <v>46035</v>
      </c>
      <c r="B735" s="2">
        <v>4761.03</v>
      </c>
      <c r="C735" s="2">
        <v>4798.05</v>
      </c>
      <c r="D735" s="2">
        <v>4836.96</v>
      </c>
      <c r="E735" s="2">
        <v>4745.5200000000004</v>
      </c>
      <c r="F735" t="s">
        <v>43</v>
      </c>
      <c r="G735" s="3">
        <v>-6.0000000000000001E-3</v>
      </c>
    </row>
    <row r="736" spans="1:7" x14ac:dyDescent="0.3">
      <c r="A736" s="1">
        <v>46036</v>
      </c>
      <c r="B736" s="2">
        <v>4741.93</v>
      </c>
      <c r="C736" s="2">
        <v>4767.7</v>
      </c>
      <c r="D736" s="2">
        <v>4818.1000000000004</v>
      </c>
      <c r="E736" s="2">
        <v>4720.25</v>
      </c>
      <c r="F736" t="s">
        <v>42</v>
      </c>
      <c r="G736" s="3">
        <v>-4.0000000000000001E-3</v>
      </c>
    </row>
    <row r="737" spans="1:7" x14ac:dyDescent="0.3">
      <c r="A737" s="1">
        <v>46037</v>
      </c>
      <c r="B737" s="2">
        <v>4751.43</v>
      </c>
      <c r="C737" s="2">
        <v>4721.8</v>
      </c>
      <c r="D737" s="2">
        <v>4769.55</v>
      </c>
      <c r="E737" s="2">
        <v>4720.9399999999996</v>
      </c>
      <c r="F737" t="s">
        <v>41</v>
      </c>
      <c r="G737" s="3">
        <v>2E-3</v>
      </c>
    </row>
    <row r="738" spans="1:7" x14ac:dyDescent="0.3">
      <c r="A738" s="1">
        <v>46038</v>
      </c>
      <c r="B738" s="2">
        <v>4731.87</v>
      </c>
      <c r="C738" s="2">
        <v>4778.43</v>
      </c>
      <c r="D738" s="2">
        <v>4792.55</v>
      </c>
      <c r="E738" s="2">
        <v>4715.3599999999997</v>
      </c>
      <c r="F738" t="s">
        <v>40</v>
      </c>
      <c r="G738" s="3">
        <v>-4.1000000000000003E-3</v>
      </c>
    </row>
    <row r="739" spans="1:7" x14ac:dyDescent="0.3">
      <c r="A739" s="1">
        <v>46041</v>
      </c>
      <c r="B739" s="2">
        <v>4734.46</v>
      </c>
      <c r="C739" s="2">
        <v>4720.1899999999996</v>
      </c>
      <c r="D739" s="2">
        <v>4761.63</v>
      </c>
      <c r="E739" s="2">
        <v>4715.09</v>
      </c>
      <c r="F739" t="s">
        <v>39</v>
      </c>
      <c r="G739" s="3">
        <v>5.0000000000000001E-4</v>
      </c>
    </row>
    <row r="740" spans="1:7" x14ac:dyDescent="0.3">
      <c r="A740" s="1">
        <v>46042</v>
      </c>
      <c r="B740" s="2">
        <v>4718.88</v>
      </c>
      <c r="C740" s="2">
        <v>4736.91</v>
      </c>
      <c r="D740" s="2">
        <v>4748.2299999999996</v>
      </c>
      <c r="E740" s="2">
        <v>4684.97</v>
      </c>
      <c r="F740" t="s">
        <v>38</v>
      </c>
      <c r="G740" s="3">
        <v>-3.3E-3</v>
      </c>
    </row>
    <row r="741" spans="1:7" x14ac:dyDescent="0.3">
      <c r="A741" s="1">
        <v>46043</v>
      </c>
      <c r="B741" s="2">
        <v>4723.07</v>
      </c>
      <c r="C741" s="2">
        <v>4714.55</v>
      </c>
      <c r="D741" s="2">
        <v>4758.28</v>
      </c>
      <c r="E741" s="2">
        <v>4714.24</v>
      </c>
      <c r="F741" t="s">
        <v>37</v>
      </c>
      <c r="G741" s="3">
        <v>8.9999999999999998E-4</v>
      </c>
    </row>
    <row r="742" spans="1:7" x14ac:dyDescent="0.3">
      <c r="A742" s="1">
        <v>46044</v>
      </c>
      <c r="B742" s="2">
        <v>4723.71</v>
      </c>
      <c r="C742" s="2">
        <v>4741.75</v>
      </c>
      <c r="D742" s="2">
        <v>4757.76</v>
      </c>
      <c r="E742" s="2">
        <v>4700.45</v>
      </c>
      <c r="F742" t="s">
        <v>36</v>
      </c>
      <c r="G742" s="3">
        <v>1E-4</v>
      </c>
    </row>
    <row r="743" spans="1:7" x14ac:dyDescent="0.3">
      <c r="A743" s="1">
        <v>46045</v>
      </c>
      <c r="B743" s="2">
        <v>4702.5</v>
      </c>
      <c r="C743" s="2">
        <v>4729.58</v>
      </c>
      <c r="D743" s="2">
        <v>4734.79</v>
      </c>
      <c r="E743" s="2">
        <v>4684.62</v>
      </c>
      <c r="F743" t="s">
        <v>35</v>
      </c>
      <c r="G743" s="3">
        <v>-4.4999999999999997E-3</v>
      </c>
    </row>
    <row r="744" spans="1:7" x14ac:dyDescent="0.3">
      <c r="A744" s="1">
        <v>46048</v>
      </c>
      <c r="B744" s="2">
        <v>4706.96</v>
      </c>
      <c r="C744" s="2">
        <v>4715.38</v>
      </c>
      <c r="D744" s="2">
        <v>4754.18</v>
      </c>
      <c r="E744" s="2">
        <v>4693.16</v>
      </c>
      <c r="F744" t="s">
        <v>34</v>
      </c>
      <c r="G744" s="3">
        <v>8.9999999999999998E-4</v>
      </c>
    </row>
    <row r="745" spans="1:7" x14ac:dyDescent="0.3">
      <c r="A745" s="1">
        <v>46049</v>
      </c>
      <c r="B745" s="2">
        <v>4705.6899999999996</v>
      </c>
      <c r="C745" s="2">
        <v>4705.17</v>
      </c>
      <c r="D745" s="2">
        <v>4736.99</v>
      </c>
      <c r="E745" s="2">
        <v>4675.6400000000003</v>
      </c>
      <c r="F745" t="s">
        <v>33</v>
      </c>
      <c r="G745" s="3">
        <v>-2.9999999999999997E-4</v>
      </c>
    </row>
    <row r="746" spans="1:7" x14ac:dyDescent="0.3">
      <c r="A746" s="1">
        <v>46050</v>
      </c>
      <c r="B746" s="2">
        <v>4717.99</v>
      </c>
      <c r="C746" s="2">
        <v>4725.6000000000004</v>
      </c>
      <c r="D746" s="2">
        <v>4739.63</v>
      </c>
      <c r="E746" s="2">
        <v>4697.91</v>
      </c>
      <c r="F746" t="s">
        <v>32</v>
      </c>
      <c r="G746" s="3">
        <v>2.5999999999999999E-3</v>
      </c>
    </row>
    <row r="747" spans="1:7" x14ac:dyDescent="0.3">
      <c r="A747" s="1">
        <v>46051</v>
      </c>
      <c r="B747" s="2">
        <v>4753.87</v>
      </c>
      <c r="C747" s="2">
        <v>4733.09</v>
      </c>
      <c r="D747" s="2">
        <v>4770.96</v>
      </c>
      <c r="E747" s="2">
        <v>4696.05</v>
      </c>
      <c r="F747" t="s">
        <v>31</v>
      </c>
      <c r="G747" s="3">
        <v>7.6E-3</v>
      </c>
    </row>
    <row r="748" spans="1:7" x14ac:dyDescent="0.3">
      <c r="A748" s="1">
        <v>46052</v>
      </c>
      <c r="B748" s="2">
        <v>4706.34</v>
      </c>
      <c r="C748" s="2">
        <v>4723.08</v>
      </c>
      <c r="D748" s="2">
        <v>4738.87</v>
      </c>
      <c r="E748" s="2">
        <v>4645.47</v>
      </c>
      <c r="F748" t="s">
        <v>30</v>
      </c>
      <c r="G748" s="3">
        <v>-0.01</v>
      </c>
    </row>
    <row r="749" spans="1:7" x14ac:dyDescent="0.3">
      <c r="A749" s="1">
        <v>46055</v>
      </c>
      <c r="B749" s="2">
        <v>4605.9799999999996</v>
      </c>
      <c r="C749" s="2">
        <v>4674.28</v>
      </c>
      <c r="D749" s="2">
        <v>4716.6099999999997</v>
      </c>
      <c r="E749" s="2">
        <v>4601.76</v>
      </c>
      <c r="F749" t="s">
        <v>29</v>
      </c>
      <c r="G749" s="3">
        <v>-2.1299999999999999E-2</v>
      </c>
    </row>
    <row r="750" spans="1:7" x14ac:dyDescent="0.3">
      <c r="A750" s="1">
        <v>46056</v>
      </c>
      <c r="B750" s="2">
        <v>4660.1099999999997</v>
      </c>
      <c r="C750" s="2">
        <v>4648.3599999999997</v>
      </c>
      <c r="D750" s="2">
        <v>4662.13</v>
      </c>
      <c r="E750" s="2">
        <v>4578.21</v>
      </c>
      <c r="F750" t="s">
        <v>28</v>
      </c>
      <c r="G750" s="3">
        <v>1.18E-2</v>
      </c>
    </row>
    <row r="751" spans="1:7" x14ac:dyDescent="0.3">
      <c r="A751" s="1">
        <v>46057</v>
      </c>
      <c r="B751" s="2">
        <v>4698.68</v>
      </c>
      <c r="C751" s="2">
        <v>4647.97</v>
      </c>
      <c r="D751" s="2">
        <v>4701.4799999999996</v>
      </c>
      <c r="E751" s="2">
        <v>4641.84</v>
      </c>
      <c r="F751" t="s">
        <v>27</v>
      </c>
      <c r="G751" s="3">
        <v>8.3000000000000001E-3</v>
      </c>
    </row>
    <row r="752" spans="1:7" x14ac:dyDescent="0.3">
      <c r="A752" s="1">
        <v>46058</v>
      </c>
      <c r="B752" s="2">
        <v>4670.42</v>
      </c>
      <c r="C752" s="2">
        <v>4664.75</v>
      </c>
      <c r="D752" s="2">
        <v>4687.0200000000004</v>
      </c>
      <c r="E752" s="2">
        <v>4639.43</v>
      </c>
      <c r="F752" t="s">
        <v>26</v>
      </c>
      <c r="G752" s="3">
        <v>-6.0000000000000001E-3</v>
      </c>
    </row>
    <row r="753" spans="1:7" x14ac:dyDescent="0.3">
      <c r="A753" s="1">
        <v>46059</v>
      </c>
      <c r="B753" s="2">
        <v>4643.6000000000004</v>
      </c>
      <c r="C753" s="2">
        <v>4622.97</v>
      </c>
      <c r="D753" s="2">
        <v>4678.26</v>
      </c>
      <c r="E753" s="2">
        <v>4606.6400000000003</v>
      </c>
      <c r="F753" t="s">
        <v>25</v>
      </c>
      <c r="G753" s="3">
        <v>-5.7000000000000002E-3</v>
      </c>
    </row>
    <row r="754" spans="1:7" x14ac:dyDescent="0.3">
      <c r="A754" s="1">
        <v>46062</v>
      </c>
      <c r="B754" s="2">
        <v>4719.0600000000004</v>
      </c>
      <c r="C754" s="2">
        <v>4693.67</v>
      </c>
      <c r="D754" s="2">
        <v>4719.96</v>
      </c>
      <c r="E754" s="2">
        <v>4679.8999999999996</v>
      </c>
      <c r="F754" t="s">
        <v>24</v>
      </c>
      <c r="G754" s="3">
        <v>1.6299999999999999E-2</v>
      </c>
    </row>
    <row r="755" spans="1:7" x14ac:dyDescent="0.3">
      <c r="A755" s="1">
        <v>46063</v>
      </c>
      <c r="B755" s="2">
        <v>4724.3</v>
      </c>
      <c r="C755" s="2">
        <v>4718.26</v>
      </c>
      <c r="D755" s="2">
        <v>4732.09</v>
      </c>
      <c r="E755" s="2">
        <v>4713.87</v>
      </c>
      <c r="F755" t="s">
        <v>23</v>
      </c>
      <c r="G755" s="3">
        <v>1.1000000000000001E-3</v>
      </c>
    </row>
    <row r="756" spans="1:7" x14ac:dyDescent="0.3">
      <c r="A756" s="1">
        <v>46064</v>
      </c>
      <c r="B756" s="2">
        <v>4713.82</v>
      </c>
      <c r="C756" s="2">
        <v>4715.67</v>
      </c>
      <c r="D756" s="2">
        <v>4723.7</v>
      </c>
      <c r="E756" s="2">
        <v>4703.6899999999996</v>
      </c>
      <c r="F756" t="s">
        <v>22</v>
      </c>
      <c r="G756" s="3">
        <v>-2.2000000000000001E-3</v>
      </c>
    </row>
    <row r="757" spans="1:7" x14ac:dyDescent="0.3">
      <c r="A757" s="1">
        <v>46065</v>
      </c>
      <c r="B757" s="2">
        <v>4719.58</v>
      </c>
      <c r="C757" s="2">
        <v>4720.01</v>
      </c>
      <c r="D757" s="2">
        <v>4726.04</v>
      </c>
      <c r="E757" s="2">
        <v>4707.74</v>
      </c>
      <c r="F757" t="s">
        <v>21</v>
      </c>
      <c r="G757" s="3">
        <v>1.1999999999999999E-3</v>
      </c>
    </row>
    <row r="758" spans="1:7" x14ac:dyDescent="0.3">
      <c r="A758" s="1">
        <v>46066</v>
      </c>
      <c r="B758" s="2">
        <v>4660.41</v>
      </c>
      <c r="C758" s="2">
        <v>4693.41</v>
      </c>
      <c r="D758" s="2">
        <v>4703.63</v>
      </c>
      <c r="E758" s="2">
        <v>4658.3999999999996</v>
      </c>
      <c r="F758" t="s">
        <v>20</v>
      </c>
      <c r="G758" s="3">
        <v>-1.2500000000000001E-2</v>
      </c>
    </row>
    <row r="759" spans="1:7" x14ac:dyDescent="0.3">
      <c r="A759" s="1">
        <v>46077</v>
      </c>
      <c r="B759" s="2">
        <v>4707.54</v>
      </c>
      <c r="C759" s="2">
        <v>4727.3</v>
      </c>
      <c r="D759" s="2">
        <v>4727.37</v>
      </c>
      <c r="E759" s="2">
        <v>4698.3500000000004</v>
      </c>
      <c r="F759" t="s">
        <v>19</v>
      </c>
      <c r="G759" s="3">
        <v>1.01E-2</v>
      </c>
    </row>
    <row r="760" spans="1:7" x14ac:dyDescent="0.3">
      <c r="A760" s="1">
        <v>46078</v>
      </c>
      <c r="B760" s="2">
        <v>4735.8900000000003</v>
      </c>
      <c r="C760" s="2">
        <v>4713.58</v>
      </c>
      <c r="D760" s="2">
        <v>4766.5600000000004</v>
      </c>
      <c r="E760" s="2">
        <v>4713.34</v>
      </c>
      <c r="F760" t="s">
        <v>18</v>
      </c>
      <c r="G760" s="3">
        <v>6.0000000000000001E-3</v>
      </c>
    </row>
    <row r="761" spans="1:7" x14ac:dyDescent="0.3">
      <c r="A761" s="1">
        <v>46079</v>
      </c>
      <c r="B761" s="2">
        <v>4726.87</v>
      </c>
      <c r="C761" s="2">
        <v>4741.3900000000003</v>
      </c>
      <c r="D761" s="2">
        <v>4742.1499999999996</v>
      </c>
      <c r="E761" s="2">
        <v>4706.6899999999996</v>
      </c>
      <c r="F761" t="s">
        <v>17</v>
      </c>
      <c r="G761" s="3">
        <v>-1.9E-3</v>
      </c>
    </row>
    <row r="762" spans="1:7" x14ac:dyDescent="0.3">
      <c r="A762" s="1">
        <v>46080</v>
      </c>
      <c r="B762" s="2">
        <v>4710.6499999999996</v>
      </c>
      <c r="C762" s="2">
        <v>4698.3</v>
      </c>
      <c r="D762" s="2">
        <v>4721.01</v>
      </c>
      <c r="E762" s="2">
        <v>4692.8900000000003</v>
      </c>
      <c r="F762" t="s">
        <v>16</v>
      </c>
      <c r="G762" s="3">
        <v>-3.3999999999999998E-3</v>
      </c>
    </row>
    <row r="763" spans="1:7" x14ac:dyDescent="0.3">
      <c r="A763" s="1">
        <v>46083</v>
      </c>
      <c r="B763" s="2">
        <v>4728.67</v>
      </c>
      <c r="C763" s="2">
        <v>4681.01</v>
      </c>
      <c r="D763" s="2">
        <v>4735.41</v>
      </c>
      <c r="E763" s="2">
        <v>4667.28</v>
      </c>
      <c r="F763" t="s">
        <v>15</v>
      </c>
      <c r="G763" s="3">
        <v>3.8E-3</v>
      </c>
    </row>
    <row r="764" spans="1:7" x14ac:dyDescent="0.3">
      <c r="A764" s="1">
        <v>46084</v>
      </c>
      <c r="B764" s="2">
        <v>4655.8999999999996</v>
      </c>
      <c r="C764" s="2">
        <v>4737.32</v>
      </c>
      <c r="D764" s="2">
        <v>4744.6000000000004</v>
      </c>
      <c r="E764" s="2">
        <v>4651.3999999999996</v>
      </c>
      <c r="F764" t="s">
        <v>14</v>
      </c>
      <c r="G764" s="3">
        <v>-1.54E-2</v>
      </c>
    </row>
    <row r="765" spans="1:7" x14ac:dyDescent="0.3">
      <c r="A765" s="1">
        <v>46085</v>
      </c>
      <c r="B765" s="2">
        <v>4602.62</v>
      </c>
      <c r="C765" s="2">
        <v>4609.1899999999996</v>
      </c>
      <c r="D765" s="2">
        <v>4639.42</v>
      </c>
      <c r="E765" s="2">
        <v>4575.82</v>
      </c>
      <c r="F765" t="s">
        <v>13</v>
      </c>
      <c r="G765" s="3">
        <v>-1.14E-2</v>
      </c>
    </row>
    <row r="766" spans="1:7" x14ac:dyDescent="0.3">
      <c r="A766" s="1">
        <v>46086</v>
      </c>
      <c r="B766" s="2">
        <v>4647.6899999999996</v>
      </c>
      <c r="C766" s="2">
        <v>4651.9399999999996</v>
      </c>
      <c r="D766" s="2">
        <v>4671.53</v>
      </c>
      <c r="E766" s="2">
        <v>4630.3</v>
      </c>
      <c r="F766" t="s">
        <v>12</v>
      </c>
      <c r="G766" s="3">
        <v>9.7999999999999997E-3</v>
      </c>
    </row>
    <row r="767" spans="1:7" x14ac:dyDescent="0.3">
      <c r="A767" s="1">
        <v>46087</v>
      </c>
      <c r="B767" s="2">
        <v>4660.4399999999996</v>
      </c>
      <c r="C767" s="2">
        <v>4621.49</v>
      </c>
      <c r="D767" s="2">
        <v>4671.71</v>
      </c>
      <c r="E767" s="2">
        <v>4612.79</v>
      </c>
      <c r="F767" t="s">
        <v>11</v>
      </c>
      <c r="G767" s="3">
        <v>2.7000000000000001E-3</v>
      </c>
    </row>
    <row r="768" spans="1:7" x14ac:dyDescent="0.3">
      <c r="A768" s="1">
        <v>46090</v>
      </c>
      <c r="B768" s="2">
        <v>4615.46</v>
      </c>
      <c r="C768" s="2">
        <v>4600.25</v>
      </c>
      <c r="D768" s="2">
        <v>4625.9799999999996</v>
      </c>
      <c r="E768" s="2">
        <v>4548.97</v>
      </c>
      <c r="F768" t="s">
        <v>10</v>
      </c>
      <c r="G768" s="3">
        <v>-9.7000000000000003E-3</v>
      </c>
    </row>
    <row r="769" spans="1:7" x14ac:dyDescent="0.3">
      <c r="A769" s="1">
        <v>46091</v>
      </c>
      <c r="B769" s="2">
        <v>4674.76</v>
      </c>
      <c r="C769" s="2">
        <v>4648.79</v>
      </c>
      <c r="D769" s="2">
        <v>4677.6000000000004</v>
      </c>
      <c r="E769" s="2">
        <v>4648.79</v>
      </c>
      <c r="F769" t="s">
        <v>9</v>
      </c>
      <c r="G769" s="3">
        <v>1.2800000000000001E-2</v>
      </c>
    </row>
    <row r="770" spans="1:7" x14ac:dyDescent="0.3">
      <c r="A770" s="1">
        <v>46092</v>
      </c>
      <c r="B770" s="2">
        <v>4704.5</v>
      </c>
      <c r="C770" s="2">
        <v>4681.03</v>
      </c>
      <c r="D770" s="2">
        <v>4711.87</v>
      </c>
      <c r="E770" s="2">
        <v>4674.71</v>
      </c>
      <c r="F770" t="s">
        <v>8</v>
      </c>
      <c r="G770" s="3">
        <v>6.4000000000000003E-3</v>
      </c>
    </row>
    <row r="771" spans="1:7" x14ac:dyDescent="0.3">
      <c r="A771" s="1">
        <v>46093</v>
      </c>
      <c r="B771" s="2">
        <v>4681.57</v>
      </c>
      <c r="C771" s="2">
        <v>4700.72</v>
      </c>
      <c r="D771" s="2">
        <v>4704.38</v>
      </c>
      <c r="E771" s="2">
        <v>4654.3100000000004</v>
      </c>
      <c r="F771" t="s">
        <v>7</v>
      </c>
      <c r="G771" s="3">
        <v>-4.8999999999999998E-3</v>
      </c>
    </row>
  </sheetData>
  <sortState xmlns:xlrd2="http://schemas.microsoft.com/office/spreadsheetml/2017/richdata2" ref="A2:G772">
    <sortCondition ref="A1:A77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E713-6F26-426D-ACDA-0F5C93D3FF02}">
  <dimension ref="A1:J771"/>
  <sheetViews>
    <sheetView workbookViewId="0">
      <selection activeCell="L34" sqref="L34"/>
    </sheetView>
  </sheetViews>
  <sheetFormatPr defaultRowHeight="14" x14ac:dyDescent="0.3"/>
  <cols>
    <col min="7" max="7" width="8.6640625" style="3"/>
    <col min="8" max="8" width="10.58203125" bestFit="1" customWidth="1"/>
    <col min="9" max="9" width="8.6640625" style="3"/>
    <col min="10" max="10" width="8.6640625" style="4"/>
  </cols>
  <sheetData>
    <row r="1" spans="1:10" x14ac:dyDescent="0.3">
      <c r="A1" t="s">
        <v>0</v>
      </c>
      <c r="B1" t="s">
        <v>768</v>
      </c>
      <c r="C1" t="s">
        <v>769</v>
      </c>
      <c r="D1" t="s">
        <v>770</v>
      </c>
      <c r="E1" t="s">
        <v>771</v>
      </c>
      <c r="F1" t="s">
        <v>772</v>
      </c>
      <c r="G1" t="s">
        <v>762</v>
      </c>
      <c r="H1" t="s">
        <v>763</v>
      </c>
      <c r="I1" t="s">
        <v>765</v>
      </c>
      <c r="J1" t="s">
        <v>766</v>
      </c>
    </row>
    <row r="2" spans="1:10" x14ac:dyDescent="0.3">
      <c r="A2" s="1">
        <v>44929</v>
      </c>
      <c r="B2" s="2">
        <v>4681.57</v>
      </c>
      <c r="C2" s="2">
        <v>4700.72</v>
      </c>
      <c r="D2" s="2">
        <v>4704.38</v>
      </c>
      <c r="E2" s="2">
        <v>4654.3100000000004</v>
      </c>
      <c r="F2" t="s">
        <v>7</v>
      </c>
      <c r="G2" s="3" t="str">
        <f>IFERROR((B2-B1)/B1,"")</f>
        <v/>
      </c>
      <c r="H2" s="3" t="str">
        <f>IFERROR((C2-C1)/C1,"")</f>
        <v/>
      </c>
      <c r="I2" s="3" t="str">
        <f>IFERROR((D2-D1)/D1,"")</f>
        <v/>
      </c>
      <c r="J2" s="3" t="str">
        <f>IFERROR((E2-E1)/E1,"")</f>
        <v/>
      </c>
    </row>
    <row r="3" spans="1:10" x14ac:dyDescent="0.3">
      <c r="A3" s="1">
        <v>44930</v>
      </c>
      <c r="B3" s="2">
        <v>4704.5</v>
      </c>
      <c r="C3" s="2">
        <v>4681.03</v>
      </c>
      <c r="D3" s="2">
        <v>4711.87</v>
      </c>
      <c r="E3" s="2">
        <v>4674.71</v>
      </c>
      <c r="F3" t="s">
        <v>8</v>
      </c>
      <c r="G3" s="3">
        <f t="shared" ref="G3:G66" si="0">IFERROR((B3-B2)/B2,"")</f>
        <v>4.8979295407310568E-3</v>
      </c>
      <c r="H3">
        <f t="shared" ref="H3:H66" si="1">AVERAGE(B3:B22)</f>
        <v>4686.0429999999997</v>
      </c>
      <c r="I3" s="3">
        <f t="shared" ref="I3:I66" si="2">IFERROR(STDEV(G3:G22),"")</f>
        <v>8.7638762445859213E-3</v>
      </c>
      <c r="J3" s="5" t="str">
        <f t="shared" ref="J3:J66" si="3">IF(ROW()&lt;22,"未知",IF(I3&gt;AVERAGE(I:I),"高风险用户","低风险用户"))</f>
        <v>未知</v>
      </c>
    </row>
    <row r="4" spans="1:10" x14ac:dyDescent="0.3">
      <c r="A4" s="1">
        <v>44931</v>
      </c>
      <c r="B4" s="2">
        <v>4674.76</v>
      </c>
      <c r="C4" s="2">
        <v>4648.79</v>
      </c>
      <c r="D4" s="2">
        <v>4677.6000000000004</v>
      </c>
      <c r="E4" s="2">
        <v>4648.79</v>
      </c>
      <c r="F4" t="s">
        <v>9</v>
      </c>
      <c r="G4" s="3">
        <f t="shared" si="0"/>
        <v>-6.3216069720479929E-3</v>
      </c>
      <c r="H4">
        <f t="shared" si="1"/>
        <v>4683.8234999999995</v>
      </c>
      <c r="I4" s="3">
        <f t="shared" si="2"/>
        <v>8.8847799770942135E-3</v>
      </c>
      <c r="J4" s="5" t="str">
        <f t="shared" si="3"/>
        <v>未知</v>
      </c>
    </row>
    <row r="5" spans="1:10" x14ac:dyDescent="0.3">
      <c r="A5" s="1">
        <v>44932</v>
      </c>
      <c r="B5" s="2">
        <v>4615.46</v>
      </c>
      <c r="C5" s="2">
        <v>4600.25</v>
      </c>
      <c r="D5" s="2">
        <v>4625.9799999999996</v>
      </c>
      <c r="E5" s="2">
        <v>4548.97</v>
      </c>
      <c r="F5" t="s">
        <v>10</v>
      </c>
      <c r="G5" s="3">
        <f t="shared" si="0"/>
        <v>-1.2685143194516977E-2</v>
      </c>
      <c r="H5">
        <f t="shared" si="1"/>
        <v>4680.3845000000001</v>
      </c>
      <c r="I5" s="3">
        <f t="shared" si="2"/>
        <v>9.1444098798581352E-3</v>
      </c>
      <c r="J5" s="5" t="str">
        <f t="shared" si="3"/>
        <v>未知</v>
      </c>
    </row>
    <row r="6" spans="1:10" x14ac:dyDescent="0.3">
      <c r="A6" s="1">
        <v>44935</v>
      </c>
      <c r="B6" s="2">
        <v>4660.4399999999996</v>
      </c>
      <c r="C6" s="2">
        <v>4621.49</v>
      </c>
      <c r="D6" s="2">
        <v>4671.71</v>
      </c>
      <c r="E6" s="2">
        <v>4612.79</v>
      </c>
      <c r="F6" t="s">
        <v>11</v>
      </c>
      <c r="G6" s="3">
        <f t="shared" si="0"/>
        <v>9.7455074900442348E-3</v>
      </c>
      <c r="H6">
        <f t="shared" si="1"/>
        <v>4684.9285</v>
      </c>
      <c r="I6" s="3">
        <f t="shared" si="2"/>
        <v>9.9777453662074217E-3</v>
      </c>
      <c r="J6" s="5" t="str">
        <f t="shared" si="3"/>
        <v>未知</v>
      </c>
    </row>
    <row r="7" spans="1:10" x14ac:dyDescent="0.3">
      <c r="A7" s="1">
        <v>44936</v>
      </c>
      <c r="B7" s="2">
        <v>4647.6899999999996</v>
      </c>
      <c r="C7" s="2">
        <v>4651.9399999999996</v>
      </c>
      <c r="D7" s="2">
        <v>4671.53</v>
      </c>
      <c r="E7" s="2">
        <v>4630.3</v>
      </c>
      <c r="F7" t="s">
        <v>12</v>
      </c>
      <c r="G7" s="3">
        <f t="shared" si="0"/>
        <v>-2.7357931869093906E-3</v>
      </c>
      <c r="H7">
        <f t="shared" si="1"/>
        <v>4689.6000000000004</v>
      </c>
      <c r="I7" s="3">
        <f t="shared" si="2"/>
        <v>9.9943165953674147E-3</v>
      </c>
      <c r="J7" s="5" t="str">
        <f t="shared" si="3"/>
        <v>未知</v>
      </c>
    </row>
    <row r="8" spans="1:10" x14ac:dyDescent="0.3">
      <c r="A8" s="1">
        <v>44937</v>
      </c>
      <c r="B8" s="2">
        <v>4602.62</v>
      </c>
      <c r="C8" s="2">
        <v>4609.1899999999996</v>
      </c>
      <c r="D8" s="2">
        <v>4639.42</v>
      </c>
      <c r="E8" s="2">
        <v>4575.82</v>
      </c>
      <c r="F8" t="s">
        <v>13</v>
      </c>
      <c r="G8" s="3">
        <f t="shared" si="0"/>
        <v>-9.6972904819382783E-3</v>
      </c>
      <c r="H8">
        <f t="shared" si="1"/>
        <v>4693.1149999999998</v>
      </c>
      <c r="I8" s="3">
        <f t="shared" si="2"/>
        <v>1.0146752180774505E-2</v>
      </c>
      <c r="J8" s="5" t="str">
        <f t="shared" si="3"/>
        <v>未知</v>
      </c>
    </row>
    <row r="9" spans="1:10" x14ac:dyDescent="0.3">
      <c r="A9" s="1">
        <v>44938</v>
      </c>
      <c r="B9" s="2">
        <v>4655.8999999999996</v>
      </c>
      <c r="C9" s="2">
        <v>4737.32</v>
      </c>
      <c r="D9" s="2">
        <v>4744.6000000000004</v>
      </c>
      <c r="E9" s="2">
        <v>4651.3999999999996</v>
      </c>
      <c r="F9" t="s">
        <v>14</v>
      </c>
      <c r="G9" s="3">
        <f t="shared" si="0"/>
        <v>1.1576015399924335E-2</v>
      </c>
      <c r="H9">
        <f t="shared" si="1"/>
        <v>4698.2685000000001</v>
      </c>
      <c r="I9" s="3">
        <f t="shared" si="2"/>
        <v>9.8810844398632327E-3</v>
      </c>
      <c r="J9" s="5" t="str">
        <f t="shared" si="3"/>
        <v>未知</v>
      </c>
    </row>
    <row r="10" spans="1:10" x14ac:dyDescent="0.3">
      <c r="A10" s="1">
        <v>44939</v>
      </c>
      <c r="B10" s="2">
        <v>4728.67</v>
      </c>
      <c r="C10" s="2">
        <v>4681.01</v>
      </c>
      <c r="D10" s="2">
        <v>4735.41</v>
      </c>
      <c r="E10" s="2">
        <v>4667.28</v>
      </c>
      <c r="F10" t="s">
        <v>15</v>
      </c>
      <c r="G10" s="3">
        <f t="shared" si="0"/>
        <v>1.5629631220601913E-2</v>
      </c>
      <c r="H10">
        <f t="shared" si="1"/>
        <v>4700.8215</v>
      </c>
      <c r="I10" s="3">
        <f t="shared" si="2"/>
        <v>9.572045380334274E-3</v>
      </c>
      <c r="J10" s="5" t="str">
        <f t="shared" si="3"/>
        <v>未知</v>
      </c>
    </row>
    <row r="11" spans="1:10" x14ac:dyDescent="0.3">
      <c r="A11" s="1">
        <v>44942</v>
      </c>
      <c r="B11" s="2">
        <v>4710.6499999999996</v>
      </c>
      <c r="C11" s="2">
        <v>4698.3</v>
      </c>
      <c r="D11" s="2">
        <v>4721.01</v>
      </c>
      <c r="E11" s="2">
        <v>4692.8900000000003</v>
      </c>
      <c r="F11" t="s">
        <v>16</v>
      </c>
      <c r="G11" s="3">
        <f t="shared" si="0"/>
        <v>-3.8107966933620735E-3</v>
      </c>
      <c r="H11">
        <f t="shared" si="1"/>
        <v>4699.5130000000008</v>
      </c>
      <c r="I11" s="3">
        <f t="shared" si="2"/>
        <v>8.8948641021175962E-3</v>
      </c>
      <c r="J11" s="5" t="str">
        <f t="shared" si="3"/>
        <v>未知</v>
      </c>
    </row>
    <row r="12" spans="1:10" x14ac:dyDescent="0.3">
      <c r="A12" s="1">
        <v>44943</v>
      </c>
      <c r="B12" s="2">
        <v>4726.87</v>
      </c>
      <c r="C12" s="2">
        <v>4741.3900000000003</v>
      </c>
      <c r="D12" s="2">
        <v>4742.1499999999996</v>
      </c>
      <c r="E12" s="2">
        <v>4706.6899999999996</v>
      </c>
      <c r="F12" t="s">
        <v>17</v>
      </c>
      <c r="G12" s="3">
        <f t="shared" si="0"/>
        <v>3.4432615456466212E-3</v>
      </c>
      <c r="H12">
        <f t="shared" si="1"/>
        <v>4700.1660000000002</v>
      </c>
      <c r="I12" s="3">
        <f t="shared" si="2"/>
        <v>8.9136392846932769E-3</v>
      </c>
      <c r="J12" s="5" t="str">
        <f t="shared" si="3"/>
        <v>未知</v>
      </c>
    </row>
    <row r="13" spans="1:10" x14ac:dyDescent="0.3">
      <c r="A13" s="1">
        <v>44944</v>
      </c>
      <c r="B13" s="2">
        <v>4735.8900000000003</v>
      </c>
      <c r="C13" s="2">
        <v>4713.58</v>
      </c>
      <c r="D13" s="2">
        <v>4766.5600000000004</v>
      </c>
      <c r="E13" s="2">
        <v>4713.34</v>
      </c>
      <c r="F13" t="s">
        <v>18</v>
      </c>
      <c r="G13" s="3">
        <f t="shared" si="0"/>
        <v>1.9082394904028324E-3</v>
      </c>
      <c r="H13">
        <f t="shared" si="1"/>
        <v>4699.9760000000006</v>
      </c>
      <c r="I13" s="3">
        <f t="shared" si="2"/>
        <v>8.8804594161934914E-3</v>
      </c>
      <c r="J13" s="5" t="str">
        <f t="shared" si="3"/>
        <v>未知</v>
      </c>
    </row>
    <row r="14" spans="1:10" x14ac:dyDescent="0.3">
      <c r="A14" s="1">
        <v>44945</v>
      </c>
      <c r="B14" s="2">
        <v>4707.54</v>
      </c>
      <c r="C14" s="2">
        <v>4727.3</v>
      </c>
      <c r="D14" s="2">
        <v>4727.37</v>
      </c>
      <c r="E14" s="2">
        <v>4698.3500000000004</v>
      </c>
      <c r="F14" t="s">
        <v>19</v>
      </c>
      <c r="G14" s="3">
        <f t="shared" si="0"/>
        <v>-5.9862032268486734E-3</v>
      </c>
      <c r="H14">
        <f t="shared" si="1"/>
        <v>4699.1255000000001</v>
      </c>
      <c r="I14" s="3">
        <f t="shared" si="2"/>
        <v>8.8707907060933261E-3</v>
      </c>
      <c r="J14" s="5" t="str">
        <f t="shared" si="3"/>
        <v>未知</v>
      </c>
    </row>
    <row r="15" spans="1:10" x14ac:dyDescent="0.3">
      <c r="A15" s="1">
        <v>44946</v>
      </c>
      <c r="B15" s="2">
        <v>4660.41</v>
      </c>
      <c r="C15" s="2">
        <v>4693.41</v>
      </c>
      <c r="D15" s="2">
        <v>4703.63</v>
      </c>
      <c r="E15" s="2">
        <v>4658.3999999999996</v>
      </c>
      <c r="F15" t="s">
        <v>20</v>
      </c>
      <c r="G15" s="3">
        <f t="shared" si="0"/>
        <v>-1.001159841445853E-2</v>
      </c>
      <c r="H15">
        <f t="shared" si="1"/>
        <v>4700.4715000000015</v>
      </c>
      <c r="I15" s="3">
        <f t="shared" si="2"/>
        <v>8.7915323676138867E-3</v>
      </c>
      <c r="J15" s="5" t="str">
        <f t="shared" si="3"/>
        <v>未知</v>
      </c>
    </row>
    <row r="16" spans="1:10" x14ac:dyDescent="0.3">
      <c r="A16" s="1">
        <v>44956</v>
      </c>
      <c r="B16" s="2">
        <v>4719.58</v>
      </c>
      <c r="C16" s="2">
        <v>4720.01</v>
      </c>
      <c r="D16" s="2">
        <v>4726.04</v>
      </c>
      <c r="E16" s="2">
        <v>4707.74</v>
      </c>
      <c r="F16" t="s">
        <v>21</v>
      </c>
      <c r="G16" s="3">
        <f t="shared" si="0"/>
        <v>1.2696307835576714E-2</v>
      </c>
      <c r="H16">
        <f t="shared" si="1"/>
        <v>4704.0445000000018</v>
      </c>
      <c r="I16" s="3">
        <f t="shared" si="2"/>
        <v>8.4542956218233902E-3</v>
      </c>
      <c r="J16" s="5" t="str">
        <f t="shared" si="3"/>
        <v>未知</v>
      </c>
    </row>
    <row r="17" spans="1:10" x14ac:dyDescent="0.3">
      <c r="A17" s="1">
        <v>44957</v>
      </c>
      <c r="B17" s="2">
        <v>4713.82</v>
      </c>
      <c r="C17" s="2">
        <v>4715.67</v>
      </c>
      <c r="D17" s="2">
        <v>4723.7</v>
      </c>
      <c r="E17" s="2">
        <v>4703.6899999999996</v>
      </c>
      <c r="F17" t="s">
        <v>22</v>
      </c>
      <c r="G17" s="3">
        <f t="shared" si="0"/>
        <v>-1.2204475822001574E-3</v>
      </c>
      <c r="H17">
        <f t="shared" si="1"/>
        <v>4705.6370000000006</v>
      </c>
      <c r="I17" s="3">
        <f t="shared" si="2"/>
        <v>8.0258361403571302E-3</v>
      </c>
      <c r="J17" s="5" t="str">
        <f t="shared" si="3"/>
        <v>未知</v>
      </c>
    </row>
    <row r="18" spans="1:10" x14ac:dyDescent="0.3">
      <c r="A18" s="1">
        <v>44958</v>
      </c>
      <c r="B18" s="2">
        <v>4724.3</v>
      </c>
      <c r="C18" s="2">
        <v>4718.26</v>
      </c>
      <c r="D18" s="2">
        <v>4732.09</v>
      </c>
      <c r="E18" s="2">
        <v>4713.87</v>
      </c>
      <c r="F18" t="s">
        <v>23</v>
      </c>
      <c r="G18" s="3">
        <f t="shared" si="0"/>
        <v>2.223249933175317E-3</v>
      </c>
      <c r="H18">
        <f t="shared" si="1"/>
        <v>4707.0425000000005</v>
      </c>
      <c r="I18" s="3">
        <f t="shared" si="2"/>
        <v>8.0358282519936482E-3</v>
      </c>
      <c r="J18" s="5" t="str">
        <f t="shared" si="3"/>
        <v>未知</v>
      </c>
    </row>
    <row r="19" spans="1:10" x14ac:dyDescent="0.3">
      <c r="A19" s="1">
        <v>44959</v>
      </c>
      <c r="B19" s="2">
        <v>4719.0600000000004</v>
      </c>
      <c r="C19" s="2">
        <v>4693.67</v>
      </c>
      <c r="D19" s="2">
        <v>4719.96</v>
      </c>
      <c r="E19" s="2">
        <v>4679.8999999999996</v>
      </c>
      <c r="F19" t="s">
        <v>24</v>
      </c>
      <c r="G19" s="3">
        <f t="shared" si="0"/>
        <v>-1.1091590288507887E-3</v>
      </c>
      <c r="H19">
        <f t="shared" si="1"/>
        <v>4708.8790000000008</v>
      </c>
      <c r="I19" s="3">
        <f t="shared" si="2"/>
        <v>8.0682968863832836E-3</v>
      </c>
      <c r="J19" s="5" t="str">
        <f t="shared" si="3"/>
        <v>未知</v>
      </c>
    </row>
    <row r="20" spans="1:10" x14ac:dyDescent="0.3">
      <c r="A20" s="1">
        <v>44960</v>
      </c>
      <c r="B20" s="2">
        <v>4643.6000000000004</v>
      </c>
      <c r="C20" s="2">
        <v>4622.97</v>
      </c>
      <c r="D20" s="2">
        <v>4678.26</v>
      </c>
      <c r="E20" s="2">
        <v>4606.6400000000003</v>
      </c>
      <c r="F20" t="s">
        <v>25</v>
      </c>
      <c r="G20" s="3">
        <f t="shared" si="0"/>
        <v>-1.5990472678880971E-2</v>
      </c>
      <c r="H20">
        <f t="shared" si="1"/>
        <v>4712.4219999999996</v>
      </c>
      <c r="I20" s="3">
        <f t="shared" si="2"/>
        <v>8.1559262288679029E-3</v>
      </c>
      <c r="J20" s="5" t="str">
        <f t="shared" si="3"/>
        <v>未知</v>
      </c>
    </row>
    <row r="21" spans="1:10" x14ac:dyDescent="0.3">
      <c r="A21" s="1">
        <v>44963</v>
      </c>
      <c r="B21" s="2">
        <v>4670.42</v>
      </c>
      <c r="C21" s="2">
        <v>4664.75</v>
      </c>
      <c r="D21" s="2">
        <v>4687.0200000000004</v>
      </c>
      <c r="E21" s="2">
        <v>4639.43</v>
      </c>
      <c r="F21" t="s">
        <v>26</v>
      </c>
      <c r="G21" s="3">
        <f t="shared" si="0"/>
        <v>5.7756912740114796E-3</v>
      </c>
      <c r="H21">
        <f t="shared" si="1"/>
        <v>4718.1879999999992</v>
      </c>
      <c r="I21" s="3">
        <f t="shared" si="2"/>
        <v>7.3653952453215637E-3</v>
      </c>
      <c r="J21" s="5" t="str">
        <f t="shared" si="3"/>
        <v>未知</v>
      </c>
    </row>
    <row r="22" spans="1:10" x14ac:dyDescent="0.3">
      <c r="A22" s="1">
        <v>44964</v>
      </c>
      <c r="B22" s="2">
        <v>4698.68</v>
      </c>
      <c r="C22" s="2">
        <v>4647.97</v>
      </c>
      <c r="D22" s="2">
        <v>4701.4799999999996</v>
      </c>
      <c r="E22" s="2">
        <v>4641.84</v>
      </c>
      <c r="F22" t="s">
        <v>27</v>
      </c>
      <c r="G22" s="3">
        <f t="shared" si="0"/>
        <v>6.050847675369714E-3</v>
      </c>
      <c r="H22">
        <f t="shared" si="1"/>
        <v>4721.5494999999992</v>
      </c>
      <c r="I22" s="3">
        <f t="shared" si="2"/>
        <v>7.3905158529210067E-3</v>
      </c>
      <c r="J22" s="5" t="str">
        <f t="shared" si="3"/>
        <v>低风险用户</v>
      </c>
    </row>
    <row r="23" spans="1:10" x14ac:dyDescent="0.3">
      <c r="A23" s="1">
        <v>44965</v>
      </c>
      <c r="B23" s="2">
        <v>4660.1099999999997</v>
      </c>
      <c r="C23" s="2">
        <v>4648.3599999999997</v>
      </c>
      <c r="D23" s="2">
        <v>4662.13</v>
      </c>
      <c r="E23" s="2">
        <v>4578.21</v>
      </c>
      <c r="F23" t="s">
        <v>28</v>
      </c>
      <c r="G23" s="3">
        <f t="shared" si="0"/>
        <v>-8.2086883975926467E-3</v>
      </c>
      <c r="H23">
        <f t="shared" si="1"/>
        <v>4725.4489999999996</v>
      </c>
      <c r="I23" s="3">
        <f t="shared" si="2"/>
        <v>7.4886587490498686E-3</v>
      </c>
      <c r="J23" s="5" t="str">
        <f t="shared" si="3"/>
        <v>低风险用户</v>
      </c>
    </row>
    <row r="24" spans="1:10" x14ac:dyDescent="0.3">
      <c r="A24" s="1">
        <v>44966</v>
      </c>
      <c r="B24" s="2">
        <v>4605.9799999999996</v>
      </c>
      <c r="C24" s="2">
        <v>4674.28</v>
      </c>
      <c r="D24" s="2">
        <v>4716.6099999999997</v>
      </c>
      <c r="E24" s="2">
        <v>4601.76</v>
      </c>
      <c r="F24" t="s">
        <v>29</v>
      </c>
      <c r="G24" s="3">
        <f t="shared" si="0"/>
        <v>-1.1615605640210233E-2</v>
      </c>
      <c r="H24">
        <f t="shared" si="1"/>
        <v>4731.9779999999992</v>
      </c>
      <c r="I24" s="3">
        <f t="shared" si="2"/>
        <v>7.187708772057203E-3</v>
      </c>
      <c r="J24" s="5" t="str">
        <f t="shared" si="3"/>
        <v>低风险用户</v>
      </c>
    </row>
    <row r="25" spans="1:10" x14ac:dyDescent="0.3">
      <c r="A25" s="1">
        <v>44967</v>
      </c>
      <c r="B25" s="2">
        <v>4706.34</v>
      </c>
      <c r="C25" s="2">
        <v>4723.08</v>
      </c>
      <c r="D25" s="2">
        <v>4738.87</v>
      </c>
      <c r="E25" s="2">
        <v>4645.47</v>
      </c>
      <c r="F25" t="s">
        <v>30</v>
      </c>
      <c r="G25" s="3">
        <f t="shared" si="0"/>
        <v>2.1789065519173031E-2</v>
      </c>
      <c r="H25">
        <f t="shared" si="1"/>
        <v>4737.566499999999</v>
      </c>
      <c r="I25" s="3">
        <f t="shared" si="2"/>
        <v>7.5672310590536853E-3</v>
      </c>
      <c r="J25" s="5" t="str">
        <f t="shared" si="3"/>
        <v>低风险用户</v>
      </c>
    </row>
    <row r="26" spans="1:10" x14ac:dyDescent="0.3">
      <c r="A26" s="1">
        <v>44970</v>
      </c>
      <c r="B26" s="2">
        <v>4753.87</v>
      </c>
      <c r="C26" s="2">
        <v>4733.09</v>
      </c>
      <c r="D26" s="2">
        <v>4770.96</v>
      </c>
      <c r="E26" s="2">
        <v>4696.05</v>
      </c>
      <c r="F26" t="s">
        <v>31</v>
      </c>
      <c r="G26" s="3">
        <f t="shared" si="0"/>
        <v>1.0099142858356971E-2</v>
      </c>
      <c r="H26">
        <f t="shared" si="1"/>
        <v>4733.7464999999993</v>
      </c>
      <c r="I26" s="3">
        <f t="shared" si="2"/>
        <v>7.1714631384320665E-3</v>
      </c>
      <c r="J26" s="5" t="str">
        <f t="shared" si="3"/>
        <v>低风险用户</v>
      </c>
    </row>
    <row r="27" spans="1:10" x14ac:dyDescent="0.3">
      <c r="A27" s="1">
        <v>44971</v>
      </c>
      <c r="B27" s="2">
        <v>4717.99</v>
      </c>
      <c r="C27" s="2">
        <v>4725.6000000000004</v>
      </c>
      <c r="D27" s="2">
        <v>4739.63</v>
      </c>
      <c r="E27" s="2">
        <v>4697.91</v>
      </c>
      <c r="F27" t="s">
        <v>32</v>
      </c>
      <c r="G27" s="3">
        <f t="shared" si="0"/>
        <v>-7.5475349557308277E-3</v>
      </c>
      <c r="H27">
        <f t="shared" si="1"/>
        <v>4728.6170000000002</v>
      </c>
      <c r="I27" s="3">
        <f t="shared" si="2"/>
        <v>6.8295032883905595E-3</v>
      </c>
      <c r="J27" s="5" t="str">
        <f t="shared" si="3"/>
        <v>低风险用户</v>
      </c>
    </row>
    <row r="28" spans="1:10" x14ac:dyDescent="0.3">
      <c r="A28" s="1">
        <v>44972</v>
      </c>
      <c r="B28" s="2">
        <v>4705.6899999999996</v>
      </c>
      <c r="C28" s="2">
        <v>4705.17</v>
      </c>
      <c r="D28" s="2">
        <v>4736.99</v>
      </c>
      <c r="E28" s="2">
        <v>4675.6400000000003</v>
      </c>
      <c r="F28" t="s">
        <v>33</v>
      </c>
      <c r="G28" s="3">
        <f t="shared" si="0"/>
        <v>-2.6070424057702923E-3</v>
      </c>
      <c r="H28">
        <f t="shared" si="1"/>
        <v>4724.6859999999997</v>
      </c>
      <c r="I28" s="3">
        <f t="shared" si="2"/>
        <v>6.6696466819459715E-3</v>
      </c>
      <c r="J28" s="5" t="str">
        <f t="shared" si="3"/>
        <v>低风险用户</v>
      </c>
    </row>
    <row r="29" spans="1:10" x14ac:dyDescent="0.3">
      <c r="A29" s="1">
        <v>44973</v>
      </c>
      <c r="B29" s="2">
        <v>4706.96</v>
      </c>
      <c r="C29" s="2">
        <v>4715.38</v>
      </c>
      <c r="D29" s="2">
        <v>4754.18</v>
      </c>
      <c r="E29" s="2">
        <v>4693.16</v>
      </c>
      <c r="F29" t="s">
        <v>34</v>
      </c>
      <c r="G29" s="3">
        <f t="shared" si="0"/>
        <v>2.6988603159163409E-4</v>
      </c>
      <c r="H29">
        <f t="shared" si="1"/>
        <v>4722.2635</v>
      </c>
      <c r="I29" s="3">
        <f t="shared" si="2"/>
        <v>6.7345451877278469E-3</v>
      </c>
      <c r="J29" s="5" t="str">
        <f t="shared" si="3"/>
        <v>低风险用户</v>
      </c>
    </row>
    <row r="30" spans="1:10" x14ac:dyDescent="0.3">
      <c r="A30" s="1">
        <v>44974</v>
      </c>
      <c r="B30" s="2">
        <v>4702.5</v>
      </c>
      <c r="C30" s="2">
        <v>4729.58</v>
      </c>
      <c r="D30" s="2">
        <v>4734.79</v>
      </c>
      <c r="E30" s="2">
        <v>4684.62</v>
      </c>
      <c r="F30" t="s">
        <v>35</v>
      </c>
      <c r="G30" s="3">
        <f t="shared" si="0"/>
        <v>-9.4753301493958654E-4</v>
      </c>
      <c r="H30">
        <f t="shared" si="1"/>
        <v>4719.0424999999996</v>
      </c>
      <c r="I30" s="3">
        <f t="shared" si="2"/>
        <v>6.7575857213855754E-3</v>
      </c>
      <c r="J30" s="5" t="str">
        <f t="shared" si="3"/>
        <v>低风险用户</v>
      </c>
    </row>
    <row r="31" spans="1:10" x14ac:dyDescent="0.3">
      <c r="A31" s="1">
        <v>44977</v>
      </c>
      <c r="B31" s="2">
        <v>4723.71</v>
      </c>
      <c r="C31" s="2">
        <v>4741.75</v>
      </c>
      <c r="D31" s="2">
        <v>4757.76</v>
      </c>
      <c r="E31" s="2">
        <v>4700.45</v>
      </c>
      <c r="F31" t="s">
        <v>36</v>
      </c>
      <c r="G31" s="3">
        <f t="shared" si="0"/>
        <v>4.5103668261563075E-3</v>
      </c>
      <c r="H31">
        <f t="shared" si="1"/>
        <v>4715.6204999999991</v>
      </c>
      <c r="I31" s="3">
        <f t="shared" si="2"/>
        <v>6.7623637268993207E-3</v>
      </c>
      <c r="J31" s="5" t="str">
        <f t="shared" si="3"/>
        <v>低风险用户</v>
      </c>
    </row>
    <row r="32" spans="1:10" x14ac:dyDescent="0.3">
      <c r="A32" s="1">
        <v>44978</v>
      </c>
      <c r="B32" s="2">
        <v>4723.07</v>
      </c>
      <c r="C32" s="2">
        <v>4714.55</v>
      </c>
      <c r="D32" s="2">
        <v>4758.28</v>
      </c>
      <c r="E32" s="2">
        <v>4714.24</v>
      </c>
      <c r="F32" t="s">
        <v>37</v>
      </c>
      <c r="G32" s="3">
        <f t="shared" si="0"/>
        <v>-1.3548672547644276E-4</v>
      </c>
      <c r="H32">
        <f t="shared" si="1"/>
        <v>4710.4714999999987</v>
      </c>
      <c r="I32" s="3">
        <f t="shared" si="2"/>
        <v>6.6631803251266785E-3</v>
      </c>
      <c r="J32" s="5" t="str">
        <f t="shared" si="3"/>
        <v>低风险用户</v>
      </c>
    </row>
    <row r="33" spans="1:10" x14ac:dyDescent="0.3">
      <c r="A33" s="1">
        <v>44979</v>
      </c>
      <c r="B33" s="2">
        <v>4718.88</v>
      </c>
      <c r="C33" s="2">
        <v>4736.91</v>
      </c>
      <c r="D33" s="2">
        <v>4748.2299999999996</v>
      </c>
      <c r="E33" s="2">
        <v>4684.97</v>
      </c>
      <c r="F33" t="s">
        <v>38</v>
      </c>
      <c r="G33" s="3">
        <f t="shared" si="0"/>
        <v>-8.8713485084904523E-4</v>
      </c>
      <c r="H33">
        <f t="shared" si="1"/>
        <v>4704.8989999999994</v>
      </c>
      <c r="I33" s="3">
        <f t="shared" si="2"/>
        <v>6.6621267005870415E-3</v>
      </c>
      <c r="J33" s="5" t="str">
        <f t="shared" si="3"/>
        <v>低风险用户</v>
      </c>
    </row>
    <row r="34" spans="1:10" x14ac:dyDescent="0.3">
      <c r="A34" s="1">
        <v>44980</v>
      </c>
      <c r="B34" s="2">
        <v>4734.46</v>
      </c>
      <c r="C34" s="2">
        <v>4720.1899999999996</v>
      </c>
      <c r="D34" s="2">
        <v>4761.63</v>
      </c>
      <c r="E34" s="2">
        <v>4715.09</v>
      </c>
      <c r="F34" t="s">
        <v>39</v>
      </c>
      <c r="G34" s="3">
        <f t="shared" si="0"/>
        <v>3.3016308954667054E-3</v>
      </c>
      <c r="H34">
        <f t="shared" si="1"/>
        <v>4697.3639999999996</v>
      </c>
      <c r="I34" s="3">
        <f t="shared" si="2"/>
        <v>6.9114570606581133E-3</v>
      </c>
      <c r="J34" s="5" t="str">
        <f t="shared" si="3"/>
        <v>低风险用户</v>
      </c>
    </row>
    <row r="35" spans="1:10" x14ac:dyDescent="0.3">
      <c r="A35" s="1">
        <v>44981</v>
      </c>
      <c r="B35" s="2">
        <v>4731.87</v>
      </c>
      <c r="C35" s="2">
        <v>4778.43</v>
      </c>
      <c r="D35" s="2">
        <v>4792.55</v>
      </c>
      <c r="E35" s="2">
        <v>4715.3599999999997</v>
      </c>
      <c r="F35" t="s">
        <v>40</v>
      </c>
      <c r="G35" s="3">
        <f t="shared" si="0"/>
        <v>-5.4705288459510595E-4</v>
      </c>
      <c r="H35">
        <f t="shared" si="1"/>
        <v>4688.2804999999989</v>
      </c>
      <c r="I35" s="3">
        <f t="shared" si="2"/>
        <v>6.8229195051765249E-3</v>
      </c>
      <c r="J35" s="5" t="str">
        <f t="shared" si="3"/>
        <v>低风险用户</v>
      </c>
    </row>
    <row r="36" spans="1:10" x14ac:dyDescent="0.3">
      <c r="A36" s="1">
        <v>44984</v>
      </c>
      <c r="B36" s="2">
        <v>4751.43</v>
      </c>
      <c r="C36" s="2">
        <v>4721.8</v>
      </c>
      <c r="D36" s="2">
        <v>4769.55</v>
      </c>
      <c r="E36" s="2">
        <v>4720.9399999999996</v>
      </c>
      <c r="F36" t="s">
        <v>41</v>
      </c>
      <c r="G36" s="3">
        <f t="shared" si="0"/>
        <v>4.1336723113695852E-3</v>
      </c>
      <c r="H36">
        <f t="shared" si="1"/>
        <v>4680.6809999999987</v>
      </c>
      <c r="I36" s="3">
        <f t="shared" si="2"/>
        <v>7.0434571893445916E-3</v>
      </c>
      <c r="J36" s="5" t="str">
        <f t="shared" si="3"/>
        <v>低风险用户</v>
      </c>
    </row>
    <row r="37" spans="1:10" x14ac:dyDescent="0.3">
      <c r="A37" s="1">
        <v>44985</v>
      </c>
      <c r="B37" s="2">
        <v>4741.93</v>
      </c>
      <c r="C37" s="2">
        <v>4767.7</v>
      </c>
      <c r="D37" s="2">
        <v>4818.1000000000004</v>
      </c>
      <c r="E37" s="2">
        <v>4720.25</v>
      </c>
      <c r="F37" t="s">
        <v>42</v>
      </c>
      <c r="G37" s="3">
        <f t="shared" si="0"/>
        <v>-1.9993980759476621E-3</v>
      </c>
      <c r="H37">
        <f t="shared" si="1"/>
        <v>4667.9869999999992</v>
      </c>
      <c r="I37" s="3">
        <f t="shared" si="2"/>
        <v>7.7904815982785145E-3</v>
      </c>
      <c r="J37" s="5" t="str">
        <f t="shared" si="3"/>
        <v>低风险用户</v>
      </c>
    </row>
    <row r="38" spans="1:10" x14ac:dyDescent="0.3">
      <c r="A38" s="1">
        <v>44986</v>
      </c>
      <c r="B38" s="2">
        <v>4761.03</v>
      </c>
      <c r="C38" s="2">
        <v>4798.05</v>
      </c>
      <c r="D38" s="2">
        <v>4836.96</v>
      </c>
      <c r="E38" s="2">
        <v>4745.5200000000004</v>
      </c>
      <c r="F38" t="s">
        <v>43</v>
      </c>
      <c r="G38" s="3">
        <f t="shared" si="0"/>
        <v>4.0278958145732761E-3</v>
      </c>
      <c r="H38">
        <f t="shared" si="1"/>
        <v>4658.4934999999996</v>
      </c>
      <c r="I38" s="3">
        <f t="shared" si="2"/>
        <v>8.4687521793534639E-3</v>
      </c>
      <c r="J38" s="5" t="str">
        <f t="shared" si="3"/>
        <v>低风险用户</v>
      </c>
    </row>
    <row r="39" spans="1:10" x14ac:dyDescent="0.3">
      <c r="A39" s="1">
        <v>44987</v>
      </c>
      <c r="B39" s="2">
        <v>4789.92</v>
      </c>
      <c r="C39" s="2">
        <v>4769.6499999999996</v>
      </c>
      <c r="D39" s="2">
        <v>4795.93</v>
      </c>
      <c r="E39" s="2">
        <v>4737.57</v>
      </c>
      <c r="F39" t="s">
        <v>44</v>
      </c>
      <c r="G39" s="3">
        <f t="shared" si="0"/>
        <v>6.0680146942994123E-3</v>
      </c>
      <c r="H39">
        <f t="shared" si="1"/>
        <v>4649.4894999999997</v>
      </c>
      <c r="I39" s="3">
        <f t="shared" si="2"/>
        <v>8.5709684462714278E-3</v>
      </c>
      <c r="J39" s="5" t="str">
        <f t="shared" si="3"/>
        <v>低风险用户</v>
      </c>
    </row>
    <row r="40" spans="1:10" x14ac:dyDescent="0.3">
      <c r="A40" s="1">
        <v>44988</v>
      </c>
      <c r="B40" s="2">
        <v>4758.92</v>
      </c>
      <c r="C40" s="2">
        <v>4725.96</v>
      </c>
      <c r="D40" s="2">
        <v>4771.43</v>
      </c>
      <c r="E40" s="2">
        <v>4719.13</v>
      </c>
      <c r="F40" t="s">
        <v>45</v>
      </c>
      <c r="G40" s="3">
        <f t="shared" si="0"/>
        <v>-6.4719243745198244E-3</v>
      </c>
      <c r="H40">
        <f t="shared" si="1"/>
        <v>4637.6024999999991</v>
      </c>
      <c r="I40" s="3">
        <f t="shared" si="2"/>
        <v>8.4107256695690365E-3</v>
      </c>
      <c r="J40" s="5" t="str">
        <f t="shared" si="3"/>
        <v>低风险用户</v>
      </c>
    </row>
    <row r="41" spans="1:10" x14ac:dyDescent="0.3">
      <c r="A41" s="1">
        <v>44991</v>
      </c>
      <c r="B41" s="2">
        <v>4737.6499999999996</v>
      </c>
      <c r="C41" s="2">
        <v>4761.01</v>
      </c>
      <c r="D41" s="2">
        <v>4765.49</v>
      </c>
      <c r="E41" s="2">
        <v>4717.01</v>
      </c>
      <c r="F41" t="s">
        <v>46</v>
      </c>
      <c r="G41" s="3">
        <f t="shared" si="0"/>
        <v>-4.4695014835299685E-3</v>
      </c>
      <c r="H41">
        <f t="shared" si="1"/>
        <v>4629.2480000000005</v>
      </c>
      <c r="I41" s="3">
        <f t="shared" si="2"/>
        <v>8.713830717379167E-3</v>
      </c>
      <c r="J41" s="5" t="str">
        <f t="shared" si="3"/>
        <v>低风险用户</v>
      </c>
    </row>
    <row r="42" spans="1:10" x14ac:dyDescent="0.3">
      <c r="A42" s="1">
        <v>44992</v>
      </c>
      <c r="B42" s="2">
        <v>4776.67</v>
      </c>
      <c r="C42" s="2">
        <v>4796.93</v>
      </c>
      <c r="D42" s="2">
        <v>4802.6000000000004</v>
      </c>
      <c r="E42" s="2">
        <v>4751.07</v>
      </c>
      <c r="F42" t="s">
        <v>47</v>
      </c>
      <c r="G42" s="3">
        <f t="shared" si="0"/>
        <v>8.2361508342744701E-3</v>
      </c>
      <c r="H42">
        <f t="shared" si="1"/>
        <v>4622.276499999999</v>
      </c>
      <c r="I42" s="3">
        <f t="shared" si="2"/>
        <v>8.7160891283748453E-3</v>
      </c>
      <c r="J42" s="5" t="str">
        <f t="shared" si="3"/>
        <v>低风险用户</v>
      </c>
    </row>
    <row r="43" spans="1:10" x14ac:dyDescent="0.3">
      <c r="A43" s="1">
        <v>44993</v>
      </c>
      <c r="B43" s="2">
        <v>4790.6899999999996</v>
      </c>
      <c r="C43" s="2">
        <v>4719.21</v>
      </c>
      <c r="D43" s="2">
        <v>4790.6899999999996</v>
      </c>
      <c r="E43" s="2">
        <v>4718.01</v>
      </c>
      <c r="F43" t="s">
        <v>48</v>
      </c>
      <c r="G43" s="3">
        <f t="shared" si="0"/>
        <v>2.9350991381023868E-3</v>
      </c>
      <c r="H43">
        <f t="shared" si="1"/>
        <v>4614.5304999999998</v>
      </c>
      <c r="I43" s="3">
        <f t="shared" si="2"/>
        <v>8.5600520254025154E-3</v>
      </c>
      <c r="J43" s="5" t="str">
        <f t="shared" si="3"/>
        <v>低风险用户</v>
      </c>
    </row>
    <row r="44" spans="1:10" x14ac:dyDescent="0.3">
      <c r="A44" s="1">
        <v>44994</v>
      </c>
      <c r="B44" s="2">
        <v>4717.75</v>
      </c>
      <c r="C44" s="2">
        <v>4661.62</v>
      </c>
      <c r="D44" s="2">
        <v>4721.6400000000003</v>
      </c>
      <c r="E44" s="2">
        <v>4661.62</v>
      </c>
      <c r="F44" t="s">
        <v>49</v>
      </c>
      <c r="G44" s="3">
        <f t="shared" si="0"/>
        <v>-1.5225364195971688E-2</v>
      </c>
      <c r="H44">
        <f t="shared" si="1"/>
        <v>4604.223</v>
      </c>
      <c r="I44" s="3">
        <f t="shared" si="2"/>
        <v>8.6052681356700474E-3</v>
      </c>
      <c r="J44" s="5" t="str">
        <f t="shared" si="3"/>
        <v>低风险用户</v>
      </c>
    </row>
    <row r="45" spans="1:10" x14ac:dyDescent="0.3">
      <c r="A45" s="1">
        <v>44995</v>
      </c>
      <c r="B45" s="2">
        <v>4629.9399999999996</v>
      </c>
      <c r="C45" s="2">
        <v>4656.4799999999996</v>
      </c>
      <c r="D45" s="2">
        <v>4667.05</v>
      </c>
      <c r="E45" s="2">
        <v>4622.1000000000004</v>
      </c>
      <c r="F45" t="s">
        <v>50</v>
      </c>
      <c r="G45" s="3">
        <f t="shared" si="0"/>
        <v>-1.8612686132160543E-2</v>
      </c>
      <c r="H45">
        <f t="shared" si="1"/>
        <v>4595.6639999999998</v>
      </c>
      <c r="I45" s="3">
        <f t="shared" si="2"/>
        <v>8.1800454199353768E-3</v>
      </c>
      <c r="J45" s="5" t="str">
        <f t="shared" si="3"/>
        <v>低风险用户</v>
      </c>
    </row>
    <row r="46" spans="1:10" x14ac:dyDescent="0.3">
      <c r="A46" s="1">
        <v>44998</v>
      </c>
      <c r="B46" s="2">
        <v>4651.28</v>
      </c>
      <c r="C46" s="2">
        <v>4617.32</v>
      </c>
      <c r="D46" s="2">
        <v>4664.33</v>
      </c>
      <c r="E46" s="2">
        <v>4616.63</v>
      </c>
      <c r="F46" t="s">
        <v>51</v>
      </c>
      <c r="G46" s="3">
        <f t="shared" si="0"/>
        <v>4.609131003857533E-3</v>
      </c>
      <c r="H46">
        <f t="shared" si="1"/>
        <v>4590.7195000000002</v>
      </c>
      <c r="I46" s="3">
        <f t="shared" si="2"/>
        <v>7.1824771574493743E-3</v>
      </c>
      <c r="J46" s="5" t="str">
        <f t="shared" si="3"/>
        <v>低风险用户</v>
      </c>
    </row>
    <row r="47" spans="1:10" x14ac:dyDescent="0.3">
      <c r="A47" s="1">
        <v>44999</v>
      </c>
      <c r="B47" s="2">
        <v>4639.37</v>
      </c>
      <c r="C47" s="2">
        <v>4658.2700000000004</v>
      </c>
      <c r="D47" s="2">
        <v>4672.04</v>
      </c>
      <c r="E47" s="2">
        <v>4629.0600000000004</v>
      </c>
      <c r="F47" t="s">
        <v>52</v>
      </c>
      <c r="G47" s="3">
        <f t="shared" si="0"/>
        <v>-2.5605854732460433E-3</v>
      </c>
      <c r="H47">
        <f t="shared" si="1"/>
        <v>4585.8720000000003</v>
      </c>
      <c r="I47" s="3">
        <f t="shared" si="2"/>
        <v>7.2053574423001244E-3</v>
      </c>
      <c r="J47" s="5" t="str">
        <f t="shared" si="3"/>
        <v>低风险用户</v>
      </c>
    </row>
    <row r="48" spans="1:10" x14ac:dyDescent="0.3">
      <c r="A48" s="1">
        <v>45000</v>
      </c>
      <c r="B48" s="2">
        <v>4657.24</v>
      </c>
      <c r="C48" s="2">
        <v>4639.79</v>
      </c>
      <c r="D48" s="2">
        <v>4676.13</v>
      </c>
      <c r="E48" s="2">
        <v>4635.1000000000004</v>
      </c>
      <c r="F48" t="s">
        <v>53</v>
      </c>
      <c r="G48" s="3">
        <f t="shared" si="0"/>
        <v>3.8518160870980095E-3</v>
      </c>
      <c r="H48">
        <f t="shared" si="1"/>
        <v>4582.728000000001</v>
      </c>
      <c r="I48" s="3">
        <f t="shared" si="2"/>
        <v>7.3127670055628596E-3</v>
      </c>
      <c r="J48" s="5" t="str">
        <f t="shared" si="3"/>
        <v>低风险用户</v>
      </c>
    </row>
    <row r="49" spans="1:10" x14ac:dyDescent="0.3">
      <c r="A49" s="1">
        <v>45001</v>
      </c>
      <c r="B49" s="2">
        <v>4642.54</v>
      </c>
      <c r="C49" s="2">
        <v>4629.32</v>
      </c>
      <c r="D49" s="2">
        <v>4651.1499999999996</v>
      </c>
      <c r="E49" s="2">
        <v>4621.92</v>
      </c>
      <c r="F49" t="s">
        <v>54</v>
      </c>
      <c r="G49" s="3">
        <f t="shared" si="0"/>
        <v>-3.1563758792760989E-3</v>
      </c>
      <c r="H49">
        <f t="shared" si="1"/>
        <v>4576.1990000000014</v>
      </c>
      <c r="I49" s="3">
        <f t="shared" si="2"/>
        <v>7.572636867494576E-3</v>
      </c>
      <c r="J49" s="5" t="str">
        <f t="shared" si="3"/>
        <v>低风险用户</v>
      </c>
    </row>
    <row r="50" spans="1:10" x14ac:dyDescent="0.3">
      <c r="A50" s="1">
        <v>45002</v>
      </c>
      <c r="B50" s="2">
        <v>4634.0600000000004</v>
      </c>
      <c r="C50" s="2">
        <v>4623.68</v>
      </c>
      <c r="D50" s="2">
        <v>4639.43</v>
      </c>
      <c r="E50" s="2">
        <v>4602.1400000000003</v>
      </c>
      <c r="F50" t="s">
        <v>55</v>
      </c>
      <c r="G50" s="3">
        <f t="shared" si="0"/>
        <v>-1.8265863083569691E-3</v>
      </c>
      <c r="H50">
        <f t="shared" si="1"/>
        <v>4569.8420000000006</v>
      </c>
      <c r="I50" s="3">
        <f t="shared" si="2"/>
        <v>7.5659159969326982E-3</v>
      </c>
      <c r="J50" s="5" t="str">
        <f t="shared" si="3"/>
        <v>低风险用户</v>
      </c>
    </row>
    <row r="51" spans="1:10" x14ac:dyDescent="0.3">
      <c r="A51" s="1">
        <v>45005</v>
      </c>
      <c r="B51" s="2">
        <v>4620.7299999999996</v>
      </c>
      <c r="C51" s="2">
        <v>4616.03</v>
      </c>
      <c r="D51" s="2">
        <v>4644.53</v>
      </c>
      <c r="E51" s="2">
        <v>4607.8</v>
      </c>
      <c r="F51" t="s">
        <v>56</v>
      </c>
      <c r="G51" s="3">
        <f t="shared" si="0"/>
        <v>-2.8765272784557895E-3</v>
      </c>
      <c r="H51">
        <f t="shared" si="1"/>
        <v>4564.0205000000005</v>
      </c>
      <c r="I51" s="3">
        <f t="shared" si="2"/>
        <v>7.5761721551441475E-3</v>
      </c>
      <c r="J51" s="5" t="str">
        <f t="shared" si="3"/>
        <v>低风险用户</v>
      </c>
    </row>
    <row r="52" spans="1:10" x14ac:dyDescent="0.3">
      <c r="A52" s="1">
        <v>45006</v>
      </c>
      <c r="B52" s="2">
        <v>4611.62</v>
      </c>
      <c r="C52" s="2">
        <v>4587.67</v>
      </c>
      <c r="D52" s="2">
        <v>4615.87</v>
      </c>
      <c r="E52" s="2">
        <v>4587.67</v>
      </c>
      <c r="F52" t="s">
        <v>57</v>
      </c>
      <c r="G52" s="3">
        <f t="shared" si="0"/>
        <v>-1.9715499498996203E-3</v>
      </c>
      <c r="H52">
        <f t="shared" si="1"/>
        <v>4557.5040000000008</v>
      </c>
      <c r="I52" s="3">
        <f t="shared" si="2"/>
        <v>7.6443602251193383E-3</v>
      </c>
      <c r="J52" s="5" t="str">
        <f t="shared" si="3"/>
        <v>低风险用户</v>
      </c>
    </row>
    <row r="53" spans="1:10" x14ac:dyDescent="0.3">
      <c r="A53" s="1">
        <v>45007</v>
      </c>
      <c r="B53" s="2">
        <v>4568.18</v>
      </c>
      <c r="C53" s="2">
        <v>4561.37</v>
      </c>
      <c r="D53" s="2">
        <v>4591.09</v>
      </c>
      <c r="E53" s="2">
        <v>4546.8500000000004</v>
      </c>
      <c r="F53" t="s">
        <v>58</v>
      </c>
      <c r="G53" s="3">
        <f t="shared" si="0"/>
        <v>-9.419683321695977E-3</v>
      </c>
      <c r="H53">
        <f t="shared" si="1"/>
        <v>4549.3255000000008</v>
      </c>
      <c r="I53" s="3">
        <f t="shared" si="2"/>
        <v>7.8527733391176475E-3</v>
      </c>
      <c r="J53" s="5" t="str">
        <f t="shared" si="3"/>
        <v>低风险用户</v>
      </c>
    </row>
    <row r="54" spans="1:10" x14ac:dyDescent="0.3">
      <c r="A54" s="1">
        <v>45008</v>
      </c>
      <c r="B54" s="2">
        <v>4552.79</v>
      </c>
      <c r="C54" s="2">
        <v>4553.9799999999996</v>
      </c>
      <c r="D54" s="2">
        <v>4571.97</v>
      </c>
      <c r="E54" s="2">
        <v>4544.1400000000003</v>
      </c>
      <c r="F54" t="s">
        <v>59</v>
      </c>
      <c r="G54" s="3">
        <f t="shared" si="0"/>
        <v>-3.368956564758903E-3</v>
      </c>
      <c r="H54">
        <f t="shared" si="1"/>
        <v>4543.5969999999998</v>
      </c>
      <c r="I54" s="3">
        <f t="shared" si="2"/>
        <v>7.6662810476732946E-3</v>
      </c>
      <c r="J54" s="5" t="str">
        <f t="shared" si="3"/>
        <v>低风险用户</v>
      </c>
    </row>
    <row r="55" spans="1:10" x14ac:dyDescent="0.3">
      <c r="A55" s="1">
        <v>45009</v>
      </c>
      <c r="B55" s="2">
        <v>4579.88</v>
      </c>
      <c r="C55" s="2">
        <v>4499.7700000000004</v>
      </c>
      <c r="D55" s="2">
        <v>4594.66</v>
      </c>
      <c r="E55" s="2">
        <v>4498.93</v>
      </c>
      <c r="F55" t="s">
        <v>60</v>
      </c>
      <c r="G55" s="3">
        <f t="shared" si="0"/>
        <v>5.9501975711596941E-3</v>
      </c>
      <c r="H55">
        <f t="shared" si="1"/>
        <v>4544.2049999999999</v>
      </c>
      <c r="I55" s="3">
        <f t="shared" si="2"/>
        <v>9.6258860913123676E-3</v>
      </c>
      <c r="J55" s="5" t="str">
        <f t="shared" si="3"/>
        <v>高风险用户</v>
      </c>
    </row>
    <row r="56" spans="1:10" x14ac:dyDescent="0.3">
      <c r="A56" s="1">
        <v>45012</v>
      </c>
      <c r="B56" s="2">
        <v>4497.55</v>
      </c>
      <c r="C56" s="2">
        <v>4542.42</v>
      </c>
      <c r="D56" s="2">
        <v>4553.08</v>
      </c>
      <c r="E56" s="2">
        <v>4484.2700000000004</v>
      </c>
      <c r="F56" t="s">
        <v>61</v>
      </c>
      <c r="G56" s="3">
        <f t="shared" si="0"/>
        <v>-1.797645353153356E-2</v>
      </c>
      <c r="H56">
        <f t="shared" si="1"/>
        <v>4544.6255000000001</v>
      </c>
      <c r="I56" s="3">
        <f t="shared" si="2"/>
        <v>9.6012453801758955E-3</v>
      </c>
      <c r="J56" s="5" t="str">
        <f t="shared" si="3"/>
        <v>高风险用户</v>
      </c>
    </row>
    <row r="57" spans="1:10" x14ac:dyDescent="0.3">
      <c r="A57" s="1">
        <v>45013</v>
      </c>
      <c r="B57" s="2">
        <v>4552.0600000000004</v>
      </c>
      <c r="C57" s="2">
        <v>4550</v>
      </c>
      <c r="D57" s="2">
        <v>4595.05</v>
      </c>
      <c r="E57" s="2">
        <v>4548.4399999999996</v>
      </c>
      <c r="F57" t="s">
        <v>62</v>
      </c>
      <c r="G57" s="3">
        <f t="shared" si="0"/>
        <v>1.2119931962957659E-2</v>
      </c>
      <c r="H57">
        <f t="shared" si="1"/>
        <v>4548.1574999999993</v>
      </c>
      <c r="I57" s="3">
        <f t="shared" si="2"/>
        <v>8.6894030664253271E-3</v>
      </c>
      <c r="J57" s="5" t="str">
        <f t="shared" si="3"/>
        <v>低风险用户</v>
      </c>
    </row>
    <row r="58" spans="1:10" x14ac:dyDescent="0.3">
      <c r="A58" s="1">
        <v>45014</v>
      </c>
      <c r="B58" s="2">
        <v>4580.95</v>
      </c>
      <c r="C58" s="2">
        <v>4558.74</v>
      </c>
      <c r="D58" s="2">
        <v>4583.68</v>
      </c>
      <c r="E58" s="2">
        <v>4530.78</v>
      </c>
      <c r="F58" t="s">
        <v>63</v>
      </c>
      <c r="G58" s="3">
        <f t="shared" si="0"/>
        <v>6.3465771540795633E-3</v>
      </c>
      <c r="H58">
        <f t="shared" si="1"/>
        <v>4550.4570000000003</v>
      </c>
      <c r="I58" s="3">
        <f t="shared" si="2"/>
        <v>8.3916814932117421E-3</v>
      </c>
      <c r="J58" s="5" t="str">
        <f t="shared" si="3"/>
        <v>低风险用户</v>
      </c>
    </row>
    <row r="59" spans="1:10" x14ac:dyDescent="0.3">
      <c r="A59" s="1">
        <v>45015</v>
      </c>
      <c r="B59" s="2">
        <v>4552.18</v>
      </c>
      <c r="C59" s="2">
        <v>4597.1899999999996</v>
      </c>
      <c r="D59" s="2">
        <v>4610.28</v>
      </c>
      <c r="E59" s="2">
        <v>4547.1400000000003</v>
      </c>
      <c r="F59" t="s">
        <v>64</v>
      </c>
      <c r="G59" s="3">
        <f t="shared" si="0"/>
        <v>-6.2803566945719832E-3</v>
      </c>
      <c r="H59">
        <f t="shared" si="1"/>
        <v>4552.816499999999</v>
      </c>
      <c r="I59" s="3">
        <f t="shared" si="2"/>
        <v>8.3989921050575157E-3</v>
      </c>
      <c r="J59" s="5" t="str">
        <f t="shared" si="3"/>
        <v>低风险用户</v>
      </c>
    </row>
    <row r="60" spans="1:10" x14ac:dyDescent="0.3">
      <c r="A60" s="1">
        <v>45016</v>
      </c>
      <c r="B60" s="2">
        <v>4591.83</v>
      </c>
      <c r="C60" s="2">
        <v>4586.25</v>
      </c>
      <c r="D60" s="2">
        <v>4598.54</v>
      </c>
      <c r="E60" s="2">
        <v>4549.08</v>
      </c>
      <c r="F60" t="s">
        <v>65</v>
      </c>
      <c r="G60" s="3">
        <f t="shared" si="0"/>
        <v>8.7101125175189989E-3</v>
      </c>
      <c r="H60">
        <f t="shared" si="1"/>
        <v>4560.3109999999997</v>
      </c>
      <c r="I60" s="3">
        <f t="shared" si="2"/>
        <v>8.9058995535413587E-3</v>
      </c>
      <c r="J60" s="5" t="str">
        <f t="shared" si="3"/>
        <v>低风险用户</v>
      </c>
    </row>
    <row r="61" spans="1:10" x14ac:dyDescent="0.3">
      <c r="A61" s="1">
        <v>45019</v>
      </c>
      <c r="B61" s="2">
        <v>4598.22</v>
      </c>
      <c r="C61" s="2">
        <v>4611.38</v>
      </c>
      <c r="D61" s="2">
        <v>4628.71</v>
      </c>
      <c r="E61" s="2">
        <v>4584.25</v>
      </c>
      <c r="F61" t="s">
        <v>66</v>
      </c>
      <c r="G61" s="3">
        <f t="shared" si="0"/>
        <v>1.3916020410163982E-3</v>
      </c>
      <c r="H61">
        <f t="shared" si="1"/>
        <v>4563.0150000000012</v>
      </c>
      <c r="I61" s="3">
        <f t="shared" si="2"/>
        <v>9.236525155628476E-3</v>
      </c>
      <c r="J61" s="5" t="str">
        <f t="shared" si="3"/>
        <v>低风险用户</v>
      </c>
    </row>
    <row r="62" spans="1:10" x14ac:dyDescent="0.3">
      <c r="A62" s="1">
        <v>45020</v>
      </c>
      <c r="B62" s="2">
        <v>4621.75</v>
      </c>
      <c r="C62" s="2">
        <v>4593.1400000000003</v>
      </c>
      <c r="D62" s="2">
        <v>4640.63</v>
      </c>
      <c r="E62" s="2">
        <v>4592.74</v>
      </c>
      <c r="F62" t="s">
        <v>67</v>
      </c>
      <c r="G62" s="3">
        <f t="shared" si="0"/>
        <v>5.1171975242593317E-3</v>
      </c>
      <c r="H62">
        <f t="shared" si="1"/>
        <v>4565.7124999999996</v>
      </c>
      <c r="I62" s="3">
        <f t="shared" si="2"/>
        <v>9.2363376722993645E-3</v>
      </c>
      <c r="J62" s="5" t="str">
        <f t="shared" si="3"/>
        <v>低风险用户</v>
      </c>
    </row>
    <row r="63" spans="1:10" x14ac:dyDescent="0.3">
      <c r="A63" s="1">
        <v>45022</v>
      </c>
      <c r="B63" s="2">
        <v>4584.54</v>
      </c>
      <c r="C63" s="2">
        <v>4547.91</v>
      </c>
      <c r="D63" s="2">
        <v>4593.83</v>
      </c>
      <c r="E63" s="2">
        <v>4535.0200000000004</v>
      </c>
      <c r="F63" t="s">
        <v>68</v>
      </c>
      <c r="G63" s="3">
        <f t="shared" si="0"/>
        <v>-8.0510629090712466E-3</v>
      </c>
      <c r="H63">
        <f t="shared" si="1"/>
        <v>4569.3774999999996</v>
      </c>
      <c r="I63" s="3">
        <f t="shared" si="2"/>
        <v>9.3856135971281188E-3</v>
      </c>
      <c r="J63" s="5" t="str">
        <f t="shared" si="3"/>
        <v>低风险用户</v>
      </c>
    </row>
    <row r="64" spans="1:10" x14ac:dyDescent="0.3">
      <c r="A64" s="1">
        <v>45023</v>
      </c>
      <c r="B64" s="2">
        <v>4546.57</v>
      </c>
      <c r="C64" s="2">
        <v>4533.6000000000004</v>
      </c>
      <c r="D64" s="2">
        <v>4557.42</v>
      </c>
      <c r="E64" s="2">
        <v>4514.1899999999996</v>
      </c>
      <c r="F64" t="s">
        <v>69</v>
      </c>
      <c r="G64" s="3">
        <f t="shared" si="0"/>
        <v>-8.2821831634144871E-3</v>
      </c>
      <c r="H64">
        <f t="shared" si="1"/>
        <v>4574.09</v>
      </c>
      <c r="I64" s="3">
        <f t="shared" si="2"/>
        <v>9.2116150608281457E-3</v>
      </c>
      <c r="J64" s="5" t="str">
        <f t="shared" si="3"/>
        <v>低风险用户</v>
      </c>
    </row>
    <row r="65" spans="1:10" x14ac:dyDescent="0.3">
      <c r="A65" s="1">
        <v>45026</v>
      </c>
      <c r="B65" s="2">
        <v>4531.05</v>
      </c>
      <c r="C65" s="2">
        <v>4554.59</v>
      </c>
      <c r="D65" s="2">
        <v>4569.82</v>
      </c>
      <c r="E65" s="2">
        <v>4523.5</v>
      </c>
      <c r="F65" t="s">
        <v>70</v>
      </c>
      <c r="G65" s="3">
        <f t="shared" si="0"/>
        <v>-3.4135623118085783E-3</v>
      </c>
      <c r="H65">
        <f t="shared" si="1"/>
        <v>4581.4314999999997</v>
      </c>
      <c r="I65" s="3">
        <f t="shared" si="2"/>
        <v>8.9523340530434405E-3</v>
      </c>
      <c r="J65" s="5" t="str">
        <f t="shared" si="3"/>
        <v>低风险用户</v>
      </c>
    </row>
    <row r="66" spans="1:10" x14ac:dyDescent="0.3">
      <c r="A66" s="1">
        <v>45027</v>
      </c>
      <c r="B66" s="2">
        <v>4554.33</v>
      </c>
      <c r="C66" s="2">
        <v>4571.91</v>
      </c>
      <c r="D66" s="2">
        <v>4575.49</v>
      </c>
      <c r="E66" s="2">
        <v>4539.43</v>
      </c>
      <c r="F66" t="s">
        <v>71</v>
      </c>
      <c r="G66" s="3">
        <f t="shared" si="0"/>
        <v>5.1378819478928158E-3</v>
      </c>
      <c r="H66">
        <f t="shared" si="1"/>
        <v>4586.2419999999993</v>
      </c>
      <c r="I66" s="3">
        <f t="shared" si="2"/>
        <v>9.5662559650784504E-3</v>
      </c>
      <c r="J66" s="5" t="str">
        <f t="shared" si="3"/>
        <v>高风险用户</v>
      </c>
    </row>
    <row r="67" spans="1:10" x14ac:dyDescent="0.3">
      <c r="A67" s="1">
        <v>45028</v>
      </c>
      <c r="B67" s="2">
        <v>4576.49</v>
      </c>
      <c r="C67" s="2">
        <v>4539.1899999999996</v>
      </c>
      <c r="D67" s="2">
        <v>4576.97</v>
      </c>
      <c r="E67" s="2">
        <v>4531.29</v>
      </c>
      <c r="F67" t="s">
        <v>72</v>
      </c>
      <c r="G67" s="3">
        <f t="shared" ref="G67:G130" si="4">IFERROR((B67-B66)/B66,"")</f>
        <v>4.8656992356723942E-3</v>
      </c>
      <c r="H67">
        <f t="shared" ref="H67:H130" si="5">AVERAGE(B67:B86)</f>
        <v>4589.4604999999992</v>
      </c>
      <c r="I67" s="3">
        <f t="shared" ref="I67:I130" si="6">IFERROR(STDEV(G67:G86),"")</f>
        <v>9.5383697525028305E-3</v>
      </c>
      <c r="J67" s="5" t="str">
        <f t="shared" ref="J67:J130" si="7">IF(ROW()&lt;22,"未知",IF(I67&gt;AVERAGE(I:I),"高风险用户","低风险用户"))</f>
        <v>高风险用户</v>
      </c>
    </row>
    <row r="68" spans="1:10" x14ac:dyDescent="0.3">
      <c r="A68" s="1">
        <v>45029</v>
      </c>
      <c r="B68" s="2">
        <v>4526.66</v>
      </c>
      <c r="C68" s="2">
        <v>4511.5</v>
      </c>
      <c r="D68" s="2">
        <v>4531.72</v>
      </c>
      <c r="E68" s="2">
        <v>4492.43</v>
      </c>
      <c r="F68" t="s">
        <v>73</v>
      </c>
      <c r="G68" s="3">
        <f t="shared" si="4"/>
        <v>-1.0888257157778107E-2</v>
      </c>
      <c r="H68">
        <f t="shared" si="5"/>
        <v>4593.3059999999987</v>
      </c>
      <c r="I68" s="3">
        <f t="shared" si="6"/>
        <v>9.6166080095826494E-3</v>
      </c>
      <c r="J68" s="5" t="str">
        <f t="shared" si="7"/>
        <v>高风险用户</v>
      </c>
    </row>
    <row r="69" spans="1:10" x14ac:dyDescent="0.3">
      <c r="A69" s="1">
        <v>45030</v>
      </c>
      <c r="B69" s="2">
        <v>4515.3999999999996</v>
      </c>
      <c r="C69" s="2">
        <v>4520.01</v>
      </c>
      <c r="D69" s="2">
        <v>4559.22</v>
      </c>
      <c r="E69" s="2">
        <v>4509.8599999999997</v>
      </c>
      <c r="F69" t="s">
        <v>74</v>
      </c>
      <c r="G69" s="3">
        <f t="shared" si="4"/>
        <v>-2.4874852540284049E-3</v>
      </c>
      <c r="H69">
        <f t="shared" si="5"/>
        <v>4599.0064999999986</v>
      </c>
      <c r="I69" s="3">
        <f t="shared" si="6"/>
        <v>9.2577264082503649E-3</v>
      </c>
      <c r="J69" s="5" t="str">
        <f t="shared" si="7"/>
        <v>低风险用户</v>
      </c>
    </row>
    <row r="70" spans="1:10" x14ac:dyDescent="0.3">
      <c r="A70" s="1">
        <v>45033</v>
      </c>
      <c r="B70" s="2">
        <v>4517.63</v>
      </c>
      <c r="C70" s="2">
        <v>4490.2</v>
      </c>
      <c r="D70" s="2">
        <v>4538.1400000000003</v>
      </c>
      <c r="E70" s="2">
        <v>4485.7</v>
      </c>
      <c r="F70" t="s">
        <v>75</v>
      </c>
      <c r="G70" s="3">
        <f t="shared" si="4"/>
        <v>4.9386543827799822E-4</v>
      </c>
      <c r="H70">
        <f t="shared" si="5"/>
        <v>4608.7319999999991</v>
      </c>
      <c r="I70" s="3">
        <f t="shared" si="6"/>
        <v>9.6924869212258978E-3</v>
      </c>
      <c r="J70" s="5" t="str">
        <f t="shared" si="7"/>
        <v>高风险用户</v>
      </c>
    </row>
    <row r="71" spans="1:10" x14ac:dyDescent="0.3">
      <c r="A71" s="1">
        <v>45034</v>
      </c>
      <c r="B71" s="2">
        <v>4490.3999999999996</v>
      </c>
      <c r="C71" s="2">
        <v>4475.84</v>
      </c>
      <c r="D71" s="2">
        <v>4510.7700000000004</v>
      </c>
      <c r="E71" s="2">
        <v>4467.3500000000004</v>
      </c>
      <c r="F71" t="s">
        <v>76</v>
      </c>
      <c r="G71" s="3">
        <f t="shared" si="4"/>
        <v>-6.027496718412192E-3</v>
      </c>
      <c r="H71">
        <f t="shared" si="5"/>
        <v>4620.2424999999994</v>
      </c>
      <c r="I71" s="3">
        <f t="shared" si="6"/>
        <v>9.7713558874259563E-3</v>
      </c>
      <c r="J71" s="5" t="str">
        <f t="shared" si="7"/>
        <v>高风险用户</v>
      </c>
    </row>
    <row r="72" spans="1:10" x14ac:dyDescent="0.3">
      <c r="A72" s="1">
        <v>45035</v>
      </c>
      <c r="B72" s="2">
        <v>4448.05</v>
      </c>
      <c r="C72" s="2">
        <v>4473.16</v>
      </c>
      <c r="D72" s="2">
        <v>4478.8100000000004</v>
      </c>
      <c r="E72" s="2">
        <v>4421.8100000000004</v>
      </c>
      <c r="F72" t="s">
        <v>77</v>
      </c>
      <c r="G72" s="3">
        <f t="shared" si="4"/>
        <v>-9.4312310707285445E-3</v>
      </c>
      <c r="H72">
        <f t="shared" si="5"/>
        <v>4630.3209999999999</v>
      </c>
      <c r="I72" s="3">
        <f t="shared" si="6"/>
        <v>1.0114310233275208E-2</v>
      </c>
      <c r="J72" s="5" t="str">
        <f t="shared" si="7"/>
        <v>高风险用户</v>
      </c>
    </row>
    <row r="73" spans="1:10" x14ac:dyDescent="0.3">
      <c r="A73" s="1">
        <v>45036</v>
      </c>
      <c r="B73" s="2">
        <v>4453.6099999999997</v>
      </c>
      <c r="C73" s="2">
        <v>4513.3900000000003</v>
      </c>
      <c r="D73" s="2">
        <v>4527.04</v>
      </c>
      <c r="E73" s="2">
        <v>4453.18</v>
      </c>
      <c r="F73" t="s">
        <v>78</v>
      </c>
      <c r="G73" s="3">
        <f t="shared" si="4"/>
        <v>1.2499859488988411E-3</v>
      </c>
      <c r="H73">
        <f t="shared" si="5"/>
        <v>4643.7195000000002</v>
      </c>
      <c r="I73" s="3">
        <f t="shared" si="6"/>
        <v>9.7468373093679474E-3</v>
      </c>
      <c r="J73" s="5" t="str">
        <f t="shared" si="7"/>
        <v>高风险用户</v>
      </c>
    </row>
    <row r="74" spans="1:10" x14ac:dyDescent="0.3">
      <c r="A74" s="1">
        <v>45037</v>
      </c>
      <c r="B74" s="2">
        <v>4564.95</v>
      </c>
      <c r="C74" s="2">
        <v>4619.54</v>
      </c>
      <c r="D74" s="2">
        <v>4620.6499999999996</v>
      </c>
      <c r="E74" s="2">
        <v>4560.18</v>
      </c>
      <c r="F74" t="s">
        <v>79</v>
      </c>
      <c r="G74" s="3">
        <f t="shared" si="4"/>
        <v>2.4999943865762864E-2</v>
      </c>
      <c r="H74">
        <f t="shared" si="5"/>
        <v>4654.0730000000012</v>
      </c>
      <c r="I74" s="3">
        <f t="shared" si="6"/>
        <v>1.0285294365346229E-2</v>
      </c>
      <c r="J74" s="5" t="str">
        <f t="shared" si="7"/>
        <v>高风险用户</v>
      </c>
    </row>
    <row r="75" spans="1:10" x14ac:dyDescent="0.3">
      <c r="A75" s="1">
        <v>45040</v>
      </c>
      <c r="B75" s="2">
        <v>4588.29</v>
      </c>
      <c r="C75" s="2">
        <v>4568.04</v>
      </c>
      <c r="D75" s="2">
        <v>4607.8599999999997</v>
      </c>
      <c r="E75" s="2">
        <v>4568.04</v>
      </c>
      <c r="F75" t="s">
        <v>80</v>
      </c>
      <c r="G75" s="3">
        <f t="shared" si="4"/>
        <v>5.1128708967239827E-3</v>
      </c>
      <c r="H75">
        <f t="shared" si="5"/>
        <v>4656.1424999999999</v>
      </c>
      <c r="I75" s="3">
        <f t="shared" si="6"/>
        <v>9.2456765957048027E-3</v>
      </c>
      <c r="J75" s="5" t="str">
        <f t="shared" si="7"/>
        <v>低风险用户</v>
      </c>
    </row>
    <row r="76" spans="1:10" x14ac:dyDescent="0.3">
      <c r="A76" s="1">
        <v>45041</v>
      </c>
      <c r="B76" s="2">
        <v>4568.1899999999996</v>
      </c>
      <c r="C76" s="2">
        <v>4584.79</v>
      </c>
      <c r="D76" s="2">
        <v>4606.62</v>
      </c>
      <c r="E76" s="2">
        <v>4552.8</v>
      </c>
      <c r="F76" t="s">
        <v>81</v>
      </c>
      <c r="G76" s="3">
        <f t="shared" si="4"/>
        <v>-4.3807169991435507E-3</v>
      </c>
      <c r="H76">
        <f t="shared" si="5"/>
        <v>4656.3564999999999</v>
      </c>
      <c r="I76" s="3">
        <f t="shared" si="6"/>
        <v>9.2099878498182342E-3</v>
      </c>
      <c r="J76" s="5" t="str">
        <f t="shared" si="7"/>
        <v>低风险用户</v>
      </c>
    </row>
    <row r="77" spans="1:10" x14ac:dyDescent="0.3">
      <c r="A77" s="1">
        <v>45042</v>
      </c>
      <c r="B77" s="2">
        <v>4598.05</v>
      </c>
      <c r="C77" s="2">
        <v>4616.8100000000004</v>
      </c>
      <c r="D77" s="2">
        <v>4624.8999999999996</v>
      </c>
      <c r="E77" s="2">
        <v>4580.26</v>
      </c>
      <c r="F77" t="s">
        <v>82</v>
      </c>
      <c r="G77" s="3">
        <f t="shared" si="4"/>
        <v>6.5365057057610526E-3</v>
      </c>
      <c r="H77">
        <f t="shared" si="5"/>
        <v>4658.3405000000002</v>
      </c>
      <c r="I77" s="3">
        <f t="shared" si="6"/>
        <v>9.1744703097210948E-3</v>
      </c>
      <c r="J77" s="5" t="str">
        <f t="shared" si="7"/>
        <v>低风险用户</v>
      </c>
    </row>
    <row r="78" spans="1:10" x14ac:dyDescent="0.3">
      <c r="A78" s="1">
        <v>45043</v>
      </c>
      <c r="B78" s="2">
        <v>4628.1400000000003</v>
      </c>
      <c r="C78" s="2">
        <v>4663.32</v>
      </c>
      <c r="D78" s="2">
        <v>4684.26</v>
      </c>
      <c r="E78" s="2">
        <v>4628.0200000000004</v>
      </c>
      <c r="F78" t="s">
        <v>83</v>
      </c>
      <c r="G78" s="3">
        <f t="shared" si="4"/>
        <v>6.5440784680462685E-3</v>
      </c>
      <c r="H78">
        <f t="shared" si="5"/>
        <v>4655.3490000000002</v>
      </c>
      <c r="I78" s="3">
        <f t="shared" si="6"/>
        <v>9.6845497495674521E-3</v>
      </c>
      <c r="J78" s="5" t="str">
        <f t="shared" si="7"/>
        <v>高风险用户</v>
      </c>
    </row>
    <row r="79" spans="1:10" x14ac:dyDescent="0.3">
      <c r="A79" s="1">
        <v>45044</v>
      </c>
      <c r="B79" s="2">
        <v>4702.07</v>
      </c>
      <c r="C79" s="2">
        <v>4643.79</v>
      </c>
      <c r="D79" s="2">
        <v>4703.49</v>
      </c>
      <c r="E79" s="2">
        <v>4643.79</v>
      </c>
      <c r="F79" t="s">
        <v>84</v>
      </c>
      <c r="G79" s="3">
        <f t="shared" si="4"/>
        <v>1.597401980061091E-2</v>
      </c>
      <c r="H79">
        <f t="shared" si="5"/>
        <v>4649.6534999999994</v>
      </c>
      <c r="I79" s="3">
        <f t="shared" si="6"/>
        <v>9.5853674017354132E-3</v>
      </c>
      <c r="J79" s="5" t="str">
        <f t="shared" si="7"/>
        <v>高风险用户</v>
      </c>
    </row>
    <row r="80" spans="1:10" x14ac:dyDescent="0.3">
      <c r="A80" s="1">
        <v>45050</v>
      </c>
      <c r="B80" s="2">
        <v>4645.91</v>
      </c>
      <c r="C80" s="2">
        <v>4643.5600000000004</v>
      </c>
      <c r="D80" s="2">
        <v>4669.6099999999997</v>
      </c>
      <c r="E80" s="2">
        <v>4620.99</v>
      </c>
      <c r="F80" t="s">
        <v>85</v>
      </c>
      <c r="G80" s="3">
        <f t="shared" si="4"/>
        <v>-1.194367587041449E-2</v>
      </c>
      <c r="H80">
        <f t="shared" si="5"/>
        <v>4645.4709999999995</v>
      </c>
      <c r="I80" s="3">
        <f t="shared" si="6"/>
        <v>1.03562644942881E-2</v>
      </c>
      <c r="J80" s="5" t="str">
        <f t="shared" si="7"/>
        <v>高风险用户</v>
      </c>
    </row>
    <row r="81" spans="1:10" x14ac:dyDescent="0.3">
      <c r="A81" s="1">
        <v>45051</v>
      </c>
      <c r="B81" s="2">
        <v>4652.17</v>
      </c>
      <c r="C81" s="2">
        <v>4706.34</v>
      </c>
      <c r="D81" s="2">
        <v>4707.13</v>
      </c>
      <c r="E81" s="2">
        <v>4648.49</v>
      </c>
      <c r="F81" t="s">
        <v>86</v>
      </c>
      <c r="G81" s="3">
        <f t="shared" si="4"/>
        <v>1.3474217107090362E-3</v>
      </c>
      <c r="H81">
        <f t="shared" si="5"/>
        <v>4643.49</v>
      </c>
      <c r="I81" s="3">
        <f t="shared" si="6"/>
        <v>1.0035380065111113E-2</v>
      </c>
      <c r="J81" s="5" t="str">
        <f t="shared" si="7"/>
        <v>高风险用户</v>
      </c>
    </row>
    <row r="82" spans="1:10" x14ac:dyDescent="0.3">
      <c r="A82" s="1">
        <v>45054</v>
      </c>
      <c r="B82" s="2">
        <v>4695.05</v>
      </c>
      <c r="C82" s="2">
        <v>4688.12</v>
      </c>
      <c r="D82" s="2">
        <v>4695.18</v>
      </c>
      <c r="E82" s="2">
        <v>4654.21</v>
      </c>
      <c r="F82" t="s">
        <v>87</v>
      </c>
      <c r="G82" s="3">
        <f t="shared" si="4"/>
        <v>9.2172040144706899E-3</v>
      </c>
      <c r="H82">
        <f t="shared" si="5"/>
        <v>4637.834499999999</v>
      </c>
      <c r="I82" s="3">
        <f t="shared" si="6"/>
        <v>1.0512739651044857E-2</v>
      </c>
      <c r="J82" s="5" t="str">
        <f t="shared" si="7"/>
        <v>高风险用户</v>
      </c>
    </row>
    <row r="83" spans="1:10" x14ac:dyDescent="0.3">
      <c r="A83" s="1">
        <v>45055</v>
      </c>
      <c r="B83" s="2">
        <v>4678.79</v>
      </c>
      <c r="C83" s="2">
        <v>4673.76</v>
      </c>
      <c r="D83" s="2">
        <v>4701.37</v>
      </c>
      <c r="E83" s="2">
        <v>4666.04</v>
      </c>
      <c r="F83" t="s">
        <v>88</v>
      </c>
      <c r="G83" s="3">
        <f t="shared" si="4"/>
        <v>-3.4632219039201326E-3</v>
      </c>
      <c r="H83">
        <f t="shared" si="5"/>
        <v>4632.780999999999</v>
      </c>
      <c r="I83" s="3">
        <f t="shared" si="6"/>
        <v>1.0681139035547889E-2</v>
      </c>
      <c r="J83" s="5" t="str">
        <f t="shared" si="7"/>
        <v>高风险用户</v>
      </c>
    </row>
    <row r="84" spans="1:10" x14ac:dyDescent="0.3">
      <c r="A84" s="1">
        <v>45056</v>
      </c>
      <c r="B84" s="2">
        <v>4693.3999999999996</v>
      </c>
      <c r="C84" s="2">
        <v>4642.01</v>
      </c>
      <c r="D84" s="2">
        <v>4698.09</v>
      </c>
      <c r="E84" s="2">
        <v>4642.01</v>
      </c>
      <c r="F84" t="s">
        <v>89</v>
      </c>
      <c r="G84" s="3">
        <f t="shared" si="4"/>
        <v>3.1226022112554042E-3</v>
      </c>
      <c r="H84">
        <f t="shared" si="5"/>
        <v>4629.6829999999991</v>
      </c>
      <c r="I84" s="3">
        <f t="shared" si="6"/>
        <v>1.0746536483924755E-2</v>
      </c>
      <c r="J84" s="5" t="str">
        <f t="shared" si="7"/>
        <v>高风险用户</v>
      </c>
    </row>
    <row r="85" spans="1:10" x14ac:dyDescent="0.3">
      <c r="A85" s="1">
        <v>45057</v>
      </c>
      <c r="B85" s="2">
        <v>4627.26</v>
      </c>
      <c r="C85" s="2">
        <v>4562.1099999999997</v>
      </c>
      <c r="D85" s="2">
        <v>4642.6099999999997</v>
      </c>
      <c r="E85" s="2">
        <v>4558.76</v>
      </c>
      <c r="F85" t="s">
        <v>90</v>
      </c>
      <c r="G85" s="3">
        <f t="shared" si="4"/>
        <v>-1.409212937316219E-2</v>
      </c>
      <c r="H85">
        <f t="shared" si="5"/>
        <v>4630.4869999999992</v>
      </c>
      <c r="I85" s="3">
        <f t="shared" si="6"/>
        <v>1.1683573273749196E-2</v>
      </c>
      <c r="J85" s="5" t="str">
        <f t="shared" si="7"/>
        <v>高风险用户</v>
      </c>
    </row>
    <row r="86" spans="1:10" x14ac:dyDescent="0.3">
      <c r="A86" s="1">
        <v>45058</v>
      </c>
      <c r="B86" s="2">
        <v>4618.7</v>
      </c>
      <c r="C86" s="2">
        <v>4649.3500000000004</v>
      </c>
      <c r="D86" s="2">
        <v>4665.32</v>
      </c>
      <c r="E86" s="2">
        <v>4595.07</v>
      </c>
      <c r="F86" t="s">
        <v>91</v>
      </c>
      <c r="G86" s="3">
        <f t="shared" si="4"/>
        <v>-1.849906856325428E-3</v>
      </c>
      <c r="H86">
        <f t="shared" si="5"/>
        <v>4631.1584999999995</v>
      </c>
      <c r="I86" s="3">
        <f t="shared" si="6"/>
        <v>1.1717303744457414E-2</v>
      </c>
      <c r="J86" s="5" t="str">
        <f t="shared" si="7"/>
        <v>高风险用户</v>
      </c>
    </row>
    <row r="87" spans="1:10" x14ac:dyDescent="0.3">
      <c r="A87" s="1">
        <v>45061</v>
      </c>
      <c r="B87" s="2">
        <v>4653.3999999999996</v>
      </c>
      <c r="C87" s="2">
        <v>4636.7299999999996</v>
      </c>
      <c r="D87" s="2">
        <v>4653.3999999999996</v>
      </c>
      <c r="E87" s="2">
        <v>4595.7299999999996</v>
      </c>
      <c r="F87" t="s">
        <v>92</v>
      </c>
      <c r="G87" s="3">
        <f t="shared" si="4"/>
        <v>7.5129365405849739E-3</v>
      </c>
      <c r="H87">
        <f t="shared" si="5"/>
        <v>4631.2260000000006</v>
      </c>
      <c r="I87" s="3">
        <f t="shared" si="6"/>
        <v>1.1755673770685373E-2</v>
      </c>
      <c r="J87" s="5" t="str">
        <f t="shared" si="7"/>
        <v>高风险用户</v>
      </c>
    </row>
    <row r="88" spans="1:10" x14ac:dyDescent="0.3">
      <c r="A88" s="1">
        <v>45062</v>
      </c>
      <c r="B88" s="2">
        <v>4640.67</v>
      </c>
      <c r="C88" s="2">
        <v>4702.49</v>
      </c>
      <c r="D88" s="2">
        <v>4706.1400000000003</v>
      </c>
      <c r="E88" s="2">
        <v>4640.67</v>
      </c>
      <c r="F88" t="s">
        <v>93</v>
      </c>
      <c r="G88" s="3">
        <f t="shared" si="4"/>
        <v>-2.7356341599689615E-3</v>
      </c>
      <c r="H88">
        <f t="shared" si="5"/>
        <v>4626.058500000001</v>
      </c>
      <c r="I88" s="3">
        <f t="shared" si="6"/>
        <v>1.2089113429387273E-2</v>
      </c>
      <c r="J88" s="5" t="str">
        <f t="shared" si="7"/>
        <v>高风险用户</v>
      </c>
    </row>
    <row r="89" spans="1:10" x14ac:dyDescent="0.3">
      <c r="A89" s="1">
        <v>45063</v>
      </c>
      <c r="B89" s="2">
        <v>4709.91</v>
      </c>
      <c r="C89" s="2">
        <v>4735.9799999999996</v>
      </c>
      <c r="D89" s="2">
        <v>4761.83</v>
      </c>
      <c r="E89" s="2">
        <v>4706.45</v>
      </c>
      <c r="F89" t="s">
        <v>94</v>
      </c>
      <c r="G89" s="3">
        <f t="shared" si="4"/>
        <v>1.4920259359101117E-2</v>
      </c>
      <c r="H89">
        <f t="shared" si="5"/>
        <v>4623.6995000000006</v>
      </c>
      <c r="I89" s="3">
        <f t="shared" si="6"/>
        <v>1.230912949810738E-2</v>
      </c>
      <c r="J89" s="5" t="str">
        <f t="shared" si="7"/>
        <v>高风险用户</v>
      </c>
    </row>
    <row r="90" spans="1:10" x14ac:dyDescent="0.3">
      <c r="A90" s="1">
        <v>45064</v>
      </c>
      <c r="B90" s="2">
        <v>4747.84</v>
      </c>
      <c r="C90" s="2">
        <v>4701.04</v>
      </c>
      <c r="D90" s="2">
        <v>4747.84</v>
      </c>
      <c r="E90" s="2">
        <v>4697.2700000000004</v>
      </c>
      <c r="F90" t="s">
        <v>95</v>
      </c>
      <c r="G90" s="3">
        <f t="shared" si="4"/>
        <v>8.0532324396857466E-3</v>
      </c>
      <c r="H90">
        <f t="shared" si="5"/>
        <v>4616.5075000000015</v>
      </c>
      <c r="I90" s="3">
        <f t="shared" si="6"/>
        <v>1.1813545530565054E-2</v>
      </c>
      <c r="J90" s="5" t="str">
        <f t="shared" si="7"/>
        <v>高风险用户</v>
      </c>
    </row>
    <row r="91" spans="1:10" x14ac:dyDescent="0.3">
      <c r="A91" s="1">
        <v>45065</v>
      </c>
      <c r="B91" s="2">
        <v>4691.97</v>
      </c>
      <c r="C91" s="2">
        <v>4697.7299999999996</v>
      </c>
      <c r="D91" s="2">
        <v>4734.32</v>
      </c>
      <c r="E91" s="2">
        <v>4679.2299999999996</v>
      </c>
      <c r="F91" t="s">
        <v>96</v>
      </c>
      <c r="G91" s="3">
        <f t="shared" si="4"/>
        <v>-1.1767456359102221E-2</v>
      </c>
      <c r="H91">
        <f t="shared" si="5"/>
        <v>4605.1044999999995</v>
      </c>
      <c r="I91" s="3">
        <f t="shared" si="6"/>
        <v>1.1740707719288403E-2</v>
      </c>
      <c r="J91" s="5" t="str">
        <f t="shared" si="7"/>
        <v>高风险用户</v>
      </c>
    </row>
    <row r="92" spans="1:10" x14ac:dyDescent="0.3">
      <c r="A92" s="1">
        <v>45068</v>
      </c>
      <c r="B92" s="2">
        <v>4716.0200000000004</v>
      </c>
      <c r="C92" s="2">
        <v>4699.38</v>
      </c>
      <c r="D92" s="2">
        <v>4720.43</v>
      </c>
      <c r="E92" s="2">
        <v>4687.6899999999996</v>
      </c>
      <c r="F92" t="s">
        <v>97</v>
      </c>
      <c r="G92" s="3">
        <f t="shared" si="4"/>
        <v>5.1257787240754265E-3</v>
      </c>
      <c r="H92">
        <f t="shared" si="5"/>
        <v>4596.6364999999996</v>
      </c>
      <c r="I92" s="3">
        <f t="shared" si="6"/>
        <v>1.1545324330380214E-2</v>
      </c>
      <c r="J92" s="5" t="str">
        <f t="shared" si="7"/>
        <v>高风险用户</v>
      </c>
    </row>
    <row r="93" spans="1:10" x14ac:dyDescent="0.3">
      <c r="A93" s="1">
        <v>45069</v>
      </c>
      <c r="B93" s="2">
        <v>4660.68</v>
      </c>
      <c r="C93" s="2">
        <v>4622.79</v>
      </c>
      <c r="D93" s="2">
        <v>4660.68</v>
      </c>
      <c r="E93" s="2">
        <v>4622.79</v>
      </c>
      <c r="F93" t="s">
        <v>98</v>
      </c>
      <c r="G93" s="3">
        <f t="shared" si="4"/>
        <v>-1.1734471015814213E-2</v>
      </c>
      <c r="H93">
        <f t="shared" si="5"/>
        <v>4585.9315000000006</v>
      </c>
      <c r="I93" s="3">
        <f t="shared" si="6"/>
        <v>1.1443547153982781E-2</v>
      </c>
      <c r="J93" s="5" t="str">
        <f t="shared" si="7"/>
        <v>高风险用户</v>
      </c>
    </row>
    <row r="94" spans="1:10" x14ac:dyDescent="0.3">
      <c r="A94" s="1">
        <v>45070</v>
      </c>
      <c r="B94" s="2">
        <v>4606.34</v>
      </c>
      <c r="C94" s="2">
        <v>4578.7</v>
      </c>
      <c r="D94" s="2">
        <v>4611.34</v>
      </c>
      <c r="E94" s="2">
        <v>4541.6899999999996</v>
      </c>
      <c r="F94" t="s">
        <v>99</v>
      </c>
      <c r="G94" s="3">
        <f t="shared" si="4"/>
        <v>-1.1659242857265493E-2</v>
      </c>
      <c r="H94">
        <f t="shared" si="5"/>
        <v>4577.8030000000008</v>
      </c>
      <c r="I94" s="3">
        <f t="shared" si="6"/>
        <v>1.1225935298371749E-2</v>
      </c>
      <c r="J94" s="5" t="str">
        <f t="shared" si="7"/>
        <v>高风险用户</v>
      </c>
    </row>
    <row r="95" spans="1:10" x14ac:dyDescent="0.3">
      <c r="A95" s="1">
        <v>45071</v>
      </c>
      <c r="B95" s="2">
        <v>4592.57</v>
      </c>
      <c r="C95" s="2">
        <v>4576.03</v>
      </c>
      <c r="D95" s="2">
        <v>4603.49</v>
      </c>
      <c r="E95" s="2">
        <v>4567.24</v>
      </c>
      <c r="F95" t="s">
        <v>100</v>
      </c>
      <c r="G95" s="3">
        <f t="shared" si="4"/>
        <v>-2.9893581455125839E-3</v>
      </c>
      <c r="H95">
        <f t="shared" si="5"/>
        <v>4575.0370000000003</v>
      </c>
      <c r="I95" s="3">
        <f t="shared" si="6"/>
        <v>1.1354791433813446E-2</v>
      </c>
      <c r="J95" s="5" t="str">
        <f t="shared" si="7"/>
        <v>高风险用户</v>
      </c>
    </row>
    <row r="96" spans="1:10" x14ac:dyDescent="0.3">
      <c r="A96" s="1">
        <v>45072</v>
      </c>
      <c r="B96" s="2">
        <v>4607.87</v>
      </c>
      <c r="C96" s="2">
        <v>4556.12</v>
      </c>
      <c r="D96" s="2">
        <v>4615.46</v>
      </c>
      <c r="E96" s="2">
        <v>4547.93</v>
      </c>
      <c r="F96" t="s">
        <v>101</v>
      </c>
      <c r="G96" s="3">
        <f t="shared" si="4"/>
        <v>3.3314680015764991E-3</v>
      </c>
      <c r="H96">
        <f t="shared" si="5"/>
        <v>4571.5755000000008</v>
      </c>
      <c r="I96" s="3">
        <f t="shared" si="6"/>
        <v>1.1410785531069506E-2</v>
      </c>
      <c r="J96" s="5" t="str">
        <f t="shared" si="7"/>
        <v>高风险用户</v>
      </c>
    </row>
    <row r="97" spans="1:10" x14ac:dyDescent="0.3">
      <c r="A97" s="1">
        <v>45075</v>
      </c>
      <c r="B97" s="2">
        <v>4538.22</v>
      </c>
      <c r="C97" s="2">
        <v>4558.24</v>
      </c>
      <c r="D97" s="2">
        <v>4570.4399999999996</v>
      </c>
      <c r="E97" s="2">
        <v>4520.5</v>
      </c>
      <c r="F97" t="s">
        <v>102</v>
      </c>
      <c r="G97" s="3">
        <f t="shared" si="4"/>
        <v>-1.5115443795072264E-2</v>
      </c>
      <c r="H97">
        <f t="shared" si="5"/>
        <v>4567.835</v>
      </c>
      <c r="I97" s="3">
        <f t="shared" si="6"/>
        <v>1.1391856921016921E-2</v>
      </c>
      <c r="J97" s="5" t="str">
        <f t="shared" si="7"/>
        <v>高风险用户</v>
      </c>
    </row>
    <row r="98" spans="1:10" x14ac:dyDescent="0.3">
      <c r="A98" s="1">
        <v>45076</v>
      </c>
      <c r="B98" s="2">
        <v>4514.2299999999996</v>
      </c>
      <c r="C98" s="2">
        <v>4610.7</v>
      </c>
      <c r="D98" s="2">
        <v>4618.5600000000004</v>
      </c>
      <c r="E98" s="2">
        <v>4509.33</v>
      </c>
      <c r="F98" t="s">
        <v>103</v>
      </c>
      <c r="G98" s="3">
        <f t="shared" si="4"/>
        <v>-5.2862135374663836E-3</v>
      </c>
      <c r="H98">
        <f t="shared" si="5"/>
        <v>4567.0239999999994</v>
      </c>
      <c r="I98" s="3">
        <f t="shared" si="6"/>
        <v>1.089262998913448E-2</v>
      </c>
      <c r="J98" s="5" t="str">
        <f t="shared" si="7"/>
        <v>高风险用户</v>
      </c>
    </row>
    <row r="99" spans="1:10" x14ac:dyDescent="0.3">
      <c r="A99" s="1">
        <v>45077</v>
      </c>
      <c r="B99" s="2">
        <v>4618.42</v>
      </c>
      <c r="C99" s="2">
        <v>4588.92</v>
      </c>
      <c r="D99" s="2">
        <v>4645.1000000000004</v>
      </c>
      <c r="E99" s="2">
        <v>4586.28</v>
      </c>
      <c r="F99" t="s">
        <v>104</v>
      </c>
      <c r="G99" s="3">
        <f t="shared" si="4"/>
        <v>2.3080348143537328E-2</v>
      </c>
      <c r="H99">
        <f t="shared" si="5"/>
        <v>4568.7139999999999</v>
      </c>
      <c r="I99" s="3">
        <f t="shared" si="6"/>
        <v>1.089699642241808E-2</v>
      </c>
      <c r="J99" s="5" t="str">
        <f t="shared" si="7"/>
        <v>高风险用户</v>
      </c>
    </row>
    <row r="100" spans="1:10" x14ac:dyDescent="0.3">
      <c r="A100" s="1">
        <v>45078</v>
      </c>
      <c r="B100" s="2">
        <v>4606.29</v>
      </c>
      <c r="C100" s="2">
        <v>4544.24</v>
      </c>
      <c r="D100" s="2">
        <v>4608.82</v>
      </c>
      <c r="E100" s="2">
        <v>4526.83</v>
      </c>
      <c r="F100" t="s">
        <v>105</v>
      </c>
      <c r="G100" s="3">
        <f t="shared" si="4"/>
        <v>-2.626439345057424E-3</v>
      </c>
      <c r="H100">
        <f t="shared" si="5"/>
        <v>4560.0609999999997</v>
      </c>
      <c r="I100" s="3">
        <f t="shared" si="6"/>
        <v>1.0682087978403311E-2</v>
      </c>
      <c r="J100" s="5" t="str">
        <f t="shared" si="7"/>
        <v>高风险用户</v>
      </c>
    </row>
    <row r="101" spans="1:10" x14ac:dyDescent="0.3">
      <c r="A101" s="1">
        <v>45079</v>
      </c>
      <c r="B101" s="2">
        <v>4539.0600000000004</v>
      </c>
      <c r="C101" s="2">
        <v>4634.05</v>
      </c>
      <c r="D101" s="2">
        <v>4641.45</v>
      </c>
      <c r="E101" s="2">
        <v>4520.93</v>
      </c>
      <c r="F101" t="s">
        <v>106</v>
      </c>
      <c r="G101" s="3">
        <f t="shared" si="4"/>
        <v>-1.4595259959750594E-2</v>
      </c>
      <c r="H101">
        <f t="shared" si="5"/>
        <v>4551.5594999999994</v>
      </c>
      <c r="I101" s="3">
        <f t="shared" si="6"/>
        <v>1.0680667025952478E-2</v>
      </c>
      <c r="J101" s="5" t="str">
        <f t="shared" si="7"/>
        <v>高风险用户</v>
      </c>
    </row>
    <row r="102" spans="1:10" x14ac:dyDescent="0.3">
      <c r="A102" s="1">
        <v>45082</v>
      </c>
      <c r="B102" s="2">
        <v>4593.9799999999996</v>
      </c>
      <c r="C102" s="2">
        <v>4490.87</v>
      </c>
      <c r="D102" s="2">
        <v>4601.8100000000004</v>
      </c>
      <c r="E102" s="2">
        <v>4490.87</v>
      </c>
      <c r="F102" t="s">
        <v>107</v>
      </c>
      <c r="G102" s="3">
        <f t="shared" si="4"/>
        <v>1.209942146611835E-2</v>
      </c>
      <c r="H102">
        <f t="shared" si="5"/>
        <v>4547.9849999999988</v>
      </c>
      <c r="I102" s="3">
        <f t="shared" si="6"/>
        <v>1.0412079925897965E-2</v>
      </c>
      <c r="J102" s="5" t="str">
        <f t="shared" si="7"/>
        <v>高风险用户</v>
      </c>
    </row>
    <row r="103" spans="1:10" x14ac:dyDescent="0.3">
      <c r="A103" s="1">
        <v>45083</v>
      </c>
      <c r="B103" s="2">
        <v>4616.83</v>
      </c>
      <c r="C103" s="2">
        <v>4679.5</v>
      </c>
      <c r="D103" s="2">
        <v>4692.59</v>
      </c>
      <c r="E103" s="2">
        <v>4600.96</v>
      </c>
      <c r="F103" t="s">
        <v>108</v>
      </c>
      <c r="G103" s="3">
        <f t="shared" si="4"/>
        <v>4.9739006264721145E-3</v>
      </c>
      <c r="H103">
        <f t="shared" si="5"/>
        <v>4541.3019999999988</v>
      </c>
      <c r="I103" s="3">
        <f t="shared" si="6"/>
        <v>9.9638265153979659E-3</v>
      </c>
      <c r="J103" s="5" t="str">
        <f t="shared" si="7"/>
        <v>高风险用户</v>
      </c>
    </row>
    <row r="104" spans="1:10" x14ac:dyDescent="0.3">
      <c r="A104" s="1">
        <v>45084</v>
      </c>
      <c r="B104" s="2">
        <v>4709.4799999999996</v>
      </c>
      <c r="C104" s="2">
        <v>4662.1099999999997</v>
      </c>
      <c r="D104" s="2">
        <v>4726.34</v>
      </c>
      <c r="E104" s="2">
        <v>4651.99</v>
      </c>
      <c r="F104" t="s">
        <v>109</v>
      </c>
      <c r="G104" s="3">
        <f t="shared" si="4"/>
        <v>2.0067882074930123E-2</v>
      </c>
      <c r="H104">
        <f t="shared" si="5"/>
        <v>4528.7209999999995</v>
      </c>
      <c r="I104" s="3">
        <f t="shared" si="6"/>
        <v>1.0776562413806218E-2</v>
      </c>
      <c r="J104" s="5" t="str">
        <f t="shared" si="7"/>
        <v>高风险用户</v>
      </c>
    </row>
    <row r="105" spans="1:10" x14ac:dyDescent="0.3">
      <c r="A105" s="1">
        <v>45085</v>
      </c>
      <c r="B105" s="2">
        <v>4640.6899999999996</v>
      </c>
      <c r="C105" s="2">
        <v>4629.8999999999996</v>
      </c>
      <c r="D105" s="2">
        <v>4647.5</v>
      </c>
      <c r="E105" s="2">
        <v>4616.22</v>
      </c>
      <c r="F105" t="s">
        <v>110</v>
      </c>
      <c r="G105" s="3">
        <f t="shared" si="4"/>
        <v>-1.4606708171602803E-2</v>
      </c>
      <c r="H105">
        <f t="shared" si="5"/>
        <v>4516.2384999999995</v>
      </c>
      <c r="I105" s="3">
        <f t="shared" si="6"/>
        <v>1.0960142776730148E-2</v>
      </c>
      <c r="J105" s="5" t="str">
        <f t="shared" si="7"/>
        <v>高风险用户</v>
      </c>
    </row>
    <row r="106" spans="1:10" x14ac:dyDescent="0.3">
      <c r="A106" s="1">
        <v>45086</v>
      </c>
      <c r="B106" s="2">
        <v>4620.05</v>
      </c>
      <c r="C106" s="2">
        <v>4555.03</v>
      </c>
      <c r="D106" s="2">
        <v>4647.57</v>
      </c>
      <c r="E106" s="2">
        <v>4541.43</v>
      </c>
      <c r="F106" t="s">
        <v>111</v>
      </c>
      <c r="G106" s="3">
        <f t="shared" si="4"/>
        <v>-4.4476144711237814E-3</v>
      </c>
      <c r="H106">
        <f t="shared" si="5"/>
        <v>4508.7265000000007</v>
      </c>
      <c r="I106" s="3">
        <f t="shared" si="6"/>
        <v>1.0778726279785596E-2</v>
      </c>
      <c r="J106" s="5" t="str">
        <f t="shared" si="7"/>
        <v>高风险用户</v>
      </c>
    </row>
    <row r="107" spans="1:10" x14ac:dyDescent="0.3">
      <c r="A107" s="1">
        <v>45089</v>
      </c>
      <c r="B107" s="2">
        <v>4550.05</v>
      </c>
      <c r="C107" s="2">
        <v>4576.91</v>
      </c>
      <c r="D107" s="2">
        <v>4597.8500000000004</v>
      </c>
      <c r="E107" s="2">
        <v>4550.05</v>
      </c>
      <c r="F107" t="s">
        <v>112</v>
      </c>
      <c r="G107" s="3">
        <f t="shared" si="4"/>
        <v>-1.5151351175853074E-2</v>
      </c>
      <c r="H107">
        <f t="shared" si="5"/>
        <v>4503.9094999999998</v>
      </c>
      <c r="I107" s="3">
        <f t="shared" si="6"/>
        <v>1.0938009186203338E-2</v>
      </c>
      <c r="J107" s="5" t="str">
        <f t="shared" si="7"/>
        <v>高风险用户</v>
      </c>
    </row>
    <row r="108" spans="1:10" x14ac:dyDescent="0.3">
      <c r="A108" s="1">
        <v>45090</v>
      </c>
      <c r="B108" s="2">
        <v>4593.49</v>
      </c>
      <c r="C108" s="2">
        <v>4563.9799999999996</v>
      </c>
      <c r="D108" s="2">
        <v>4613.95</v>
      </c>
      <c r="E108" s="2">
        <v>4558.84</v>
      </c>
      <c r="F108" t="s">
        <v>113</v>
      </c>
      <c r="G108" s="3">
        <f t="shared" si="4"/>
        <v>9.5471478335402028E-3</v>
      </c>
      <c r="H108">
        <f t="shared" si="5"/>
        <v>4501.2450000000008</v>
      </c>
      <c r="I108" s="3">
        <f t="shared" si="6"/>
        <v>1.0496062176125089E-2</v>
      </c>
      <c r="J108" s="5" t="str">
        <f t="shared" si="7"/>
        <v>高风险用户</v>
      </c>
    </row>
    <row r="109" spans="1:10" x14ac:dyDescent="0.3">
      <c r="A109" s="1">
        <v>45091</v>
      </c>
      <c r="B109" s="2">
        <v>4566.07</v>
      </c>
      <c r="C109" s="2">
        <v>4495.2700000000004</v>
      </c>
      <c r="D109" s="2">
        <v>4567.49</v>
      </c>
      <c r="E109" s="2">
        <v>4494.1099999999997</v>
      </c>
      <c r="F109" t="s">
        <v>114</v>
      </c>
      <c r="G109" s="3">
        <f t="shared" si="4"/>
        <v>-5.9693174470827354E-3</v>
      </c>
      <c r="H109">
        <f t="shared" si="5"/>
        <v>4494.7595000000001</v>
      </c>
      <c r="I109" s="3">
        <f t="shared" si="6"/>
        <v>1.0319784758627052E-2</v>
      </c>
      <c r="J109" s="5" t="str">
        <f t="shared" si="7"/>
        <v>高风险用户</v>
      </c>
    </row>
    <row r="110" spans="1:10" x14ac:dyDescent="0.3">
      <c r="A110" s="1">
        <v>45092</v>
      </c>
      <c r="B110" s="2">
        <v>4519.78</v>
      </c>
      <c r="C110" s="2">
        <v>4536.76</v>
      </c>
      <c r="D110" s="2">
        <v>4560.7299999999996</v>
      </c>
      <c r="E110" s="2">
        <v>4459.7299999999996</v>
      </c>
      <c r="F110" t="s">
        <v>115</v>
      </c>
      <c r="G110" s="3">
        <f t="shared" si="4"/>
        <v>-1.0137820926967822E-2</v>
      </c>
      <c r="H110">
        <f t="shared" si="5"/>
        <v>4485.7624999999998</v>
      </c>
      <c r="I110" s="3">
        <f t="shared" si="6"/>
        <v>1.0887846373784354E-2</v>
      </c>
      <c r="J110" s="5" t="str">
        <f t="shared" si="7"/>
        <v>高风险用户</v>
      </c>
    </row>
    <row r="111" spans="1:10" x14ac:dyDescent="0.3">
      <c r="A111" s="1">
        <v>45093</v>
      </c>
      <c r="B111" s="2">
        <v>4522.6099999999997</v>
      </c>
      <c r="C111" s="2">
        <v>4512.0200000000004</v>
      </c>
      <c r="D111" s="2">
        <v>4523.87</v>
      </c>
      <c r="E111" s="2">
        <v>4487.13</v>
      </c>
      <c r="F111" t="s">
        <v>116</v>
      </c>
      <c r="G111" s="3">
        <f t="shared" si="4"/>
        <v>6.2613667036889571E-4</v>
      </c>
      <c r="H111">
        <f t="shared" si="5"/>
        <v>4482.4030000000002</v>
      </c>
      <c r="I111" s="3">
        <f t="shared" si="6"/>
        <v>1.1346037637120566E-2</v>
      </c>
      <c r="J111" s="5" t="str">
        <f t="shared" si="7"/>
        <v>高风险用户</v>
      </c>
    </row>
    <row r="112" spans="1:10" x14ac:dyDescent="0.3">
      <c r="A112" s="1">
        <v>45096</v>
      </c>
      <c r="B112" s="2">
        <v>4501.92</v>
      </c>
      <c r="C112" s="2">
        <v>4499.09</v>
      </c>
      <c r="D112" s="2">
        <v>4533.09</v>
      </c>
      <c r="E112" s="2">
        <v>4491.84</v>
      </c>
      <c r="F112" t="s">
        <v>117</v>
      </c>
      <c r="G112" s="3">
        <f t="shared" si="4"/>
        <v>-4.5747919895811496E-3</v>
      </c>
      <c r="H112">
        <f t="shared" si="5"/>
        <v>4479.7335000000003</v>
      </c>
      <c r="I112" s="3">
        <f t="shared" si="6"/>
        <v>1.1386202046780199E-2</v>
      </c>
      <c r="J112" s="5" t="str">
        <f t="shared" si="7"/>
        <v>高风险用户</v>
      </c>
    </row>
    <row r="113" spans="1:10" x14ac:dyDescent="0.3">
      <c r="A113" s="1">
        <v>45097</v>
      </c>
      <c r="B113" s="2">
        <v>4498.1099999999997</v>
      </c>
      <c r="C113" s="2">
        <v>4546.03</v>
      </c>
      <c r="D113" s="2">
        <v>4573.83</v>
      </c>
      <c r="E113" s="2">
        <v>4454.99</v>
      </c>
      <c r="F113" t="s">
        <v>118</v>
      </c>
      <c r="G113" s="3">
        <f t="shared" si="4"/>
        <v>-8.463055762875396E-4</v>
      </c>
      <c r="H113">
        <f t="shared" si="5"/>
        <v>4473.5375000000004</v>
      </c>
      <c r="I113" s="3">
        <f t="shared" si="6"/>
        <v>1.2203432401733459E-2</v>
      </c>
      <c r="J113" s="5" t="str">
        <f t="shared" si="7"/>
        <v>高风险用户</v>
      </c>
    </row>
    <row r="114" spans="1:10" x14ac:dyDescent="0.3">
      <c r="A114" s="1">
        <v>45098</v>
      </c>
      <c r="B114" s="2">
        <v>4551.0200000000004</v>
      </c>
      <c r="C114" s="2">
        <v>4517.29</v>
      </c>
      <c r="D114" s="2">
        <v>4556.03</v>
      </c>
      <c r="E114" s="2">
        <v>4503.8</v>
      </c>
      <c r="F114" t="s">
        <v>119</v>
      </c>
      <c r="G114" s="3">
        <f t="shared" si="4"/>
        <v>1.1762718119388092E-2</v>
      </c>
      <c r="H114">
        <f t="shared" si="5"/>
        <v>4463.0355</v>
      </c>
      <c r="I114" s="3">
        <f t="shared" si="6"/>
        <v>1.2935566229925062E-2</v>
      </c>
      <c r="J114" s="5" t="str">
        <f t="shared" si="7"/>
        <v>高风险用户</v>
      </c>
    </row>
    <row r="115" spans="1:10" x14ac:dyDescent="0.3">
      <c r="A115" s="1">
        <v>45103</v>
      </c>
      <c r="B115" s="2">
        <v>4523.34</v>
      </c>
      <c r="C115" s="2">
        <v>4539.92</v>
      </c>
      <c r="D115" s="2">
        <v>4552.42</v>
      </c>
      <c r="E115" s="2">
        <v>4494.79</v>
      </c>
      <c r="F115" t="s">
        <v>120</v>
      </c>
      <c r="G115" s="3">
        <f t="shared" si="4"/>
        <v>-6.0821530118523514E-3</v>
      </c>
      <c r="H115">
        <f t="shared" si="5"/>
        <v>4449.0545000000002</v>
      </c>
      <c r="I115" s="3">
        <f t="shared" si="6"/>
        <v>1.2505786640902433E-2</v>
      </c>
      <c r="J115" s="5" t="str">
        <f t="shared" si="7"/>
        <v>高风险用户</v>
      </c>
    </row>
    <row r="116" spans="1:10" x14ac:dyDescent="0.3">
      <c r="A116" s="1">
        <v>45104</v>
      </c>
      <c r="B116" s="2">
        <v>4533.0600000000004</v>
      </c>
      <c r="C116" s="2">
        <v>4534.8900000000003</v>
      </c>
      <c r="D116" s="2">
        <v>4566.91</v>
      </c>
      <c r="E116" s="2">
        <v>4522.5</v>
      </c>
      <c r="F116" t="s">
        <v>121</v>
      </c>
      <c r="G116" s="3">
        <f t="shared" si="4"/>
        <v>2.1488546074361543E-3</v>
      </c>
      <c r="H116">
        <f t="shared" si="5"/>
        <v>4434.0559999999996</v>
      </c>
      <c r="I116" s="3">
        <f t="shared" si="6"/>
        <v>1.2623497596509891E-2</v>
      </c>
      <c r="J116" s="5" t="str">
        <f t="shared" si="7"/>
        <v>高风险用户</v>
      </c>
    </row>
    <row r="117" spans="1:10" x14ac:dyDescent="0.3">
      <c r="A117" s="1">
        <v>45105</v>
      </c>
      <c r="B117" s="2">
        <v>4522</v>
      </c>
      <c r="C117" s="2">
        <v>4544.59</v>
      </c>
      <c r="D117" s="2">
        <v>4564.67</v>
      </c>
      <c r="E117" s="2">
        <v>4517.79</v>
      </c>
      <c r="F117" t="s">
        <v>122</v>
      </c>
      <c r="G117" s="3">
        <f t="shared" si="4"/>
        <v>-2.4398529911363181E-3</v>
      </c>
      <c r="H117">
        <f t="shared" si="5"/>
        <v>4419.3734999999997</v>
      </c>
      <c r="I117" s="3">
        <f t="shared" si="6"/>
        <v>1.266661021776613E-2</v>
      </c>
      <c r="J117" s="5" t="str">
        <f t="shared" si="7"/>
        <v>高风险用户</v>
      </c>
    </row>
    <row r="118" spans="1:10" x14ac:dyDescent="0.3">
      <c r="A118" s="1">
        <v>45106</v>
      </c>
      <c r="B118" s="2">
        <v>4548.03</v>
      </c>
      <c r="C118" s="2">
        <v>4438.84</v>
      </c>
      <c r="D118" s="2">
        <v>4548.03</v>
      </c>
      <c r="E118" s="2">
        <v>4427.92</v>
      </c>
      <c r="F118" t="s">
        <v>123</v>
      </c>
      <c r="G118" s="3">
        <f t="shared" si="4"/>
        <v>5.7563025210083472E-3</v>
      </c>
      <c r="H118">
        <f t="shared" si="5"/>
        <v>4403.3910000000005</v>
      </c>
      <c r="I118" s="3">
        <f t="shared" si="6"/>
        <v>1.2723219335192265E-2</v>
      </c>
      <c r="J118" s="5" t="str">
        <f t="shared" si="7"/>
        <v>高风险用户</v>
      </c>
    </row>
    <row r="119" spans="1:10" x14ac:dyDescent="0.3">
      <c r="A119" s="1">
        <v>45107</v>
      </c>
      <c r="B119" s="2">
        <v>4445.3599999999997</v>
      </c>
      <c r="C119" s="2">
        <v>4438.3</v>
      </c>
      <c r="D119" s="2">
        <v>4466.63</v>
      </c>
      <c r="E119" s="2">
        <v>4414.59</v>
      </c>
      <c r="F119" t="s">
        <v>124</v>
      </c>
      <c r="G119" s="3">
        <f t="shared" si="4"/>
        <v>-2.2574609226412332E-2</v>
      </c>
      <c r="H119">
        <f t="shared" si="5"/>
        <v>4384.6550000000007</v>
      </c>
      <c r="I119" s="3">
        <f t="shared" si="6"/>
        <v>1.2547984160541568E-2</v>
      </c>
      <c r="J119" s="5" t="str">
        <f t="shared" si="7"/>
        <v>高风险用户</v>
      </c>
    </row>
    <row r="120" spans="1:10" x14ac:dyDescent="0.3">
      <c r="A120" s="1">
        <v>45110</v>
      </c>
      <c r="B120" s="2">
        <v>4436.26</v>
      </c>
      <c r="C120" s="2">
        <v>4448.74</v>
      </c>
      <c r="D120" s="2">
        <v>4472.09</v>
      </c>
      <c r="E120" s="2">
        <v>4412.6899999999996</v>
      </c>
      <c r="F120" t="s">
        <v>125</v>
      </c>
      <c r="G120" s="3">
        <f t="shared" si="4"/>
        <v>-2.0470783018696924E-3</v>
      </c>
      <c r="H120">
        <f t="shared" si="5"/>
        <v>4371.2160000000003</v>
      </c>
      <c r="I120" s="3">
        <f t="shared" si="6"/>
        <v>1.1814836768022858E-2</v>
      </c>
      <c r="J120" s="5" t="str">
        <f t="shared" si="7"/>
        <v>高风险用户</v>
      </c>
    </row>
    <row r="121" spans="1:10" x14ac:dyDescent="0.3">
      <c r="A121" s="1">
        <v>45111</v>
      </c>
      <c r="B121" s="2">
        <v>4467.57</v>
      </c>
      <c r="C121" s="2">
        <v>4467.17</v>
      </c>
      <c r="D121" s="2">
        <v>4482.76</v>
      </c>
      <c r="E121" s="2">
        <v>4438.07</v>
      </c>
      <c r="F121" t="s">
        <v>126</v>
      </c>
      <c r="G121" s="3">
        <f t="shared" si="4"/>
        <v>7.0577468408072313E-3</v>
      </c>
      <c r="H121">
        <f t="shared" si="5"/>
        <v>4356.5945000000002</v>
      </c>
      <c r="I121" s="3">
        <f t="shared" si="6"/>
        <v>1.1859979067504418E-2</v>
      </c>
      <c r="J121" s="5" t="str">
        <f t="shared" si="7"/>
        <v>高风险用户</v>
      </c>
    </row>
    <row r="122" spans="1:10" x14ac:dyDescent="0.3">
      <c r="A122" s="1">
        <v>45112</v>
      </c>
      <c r="B122" s="2">
        <v>4460.32</v>
      </c>
      <c r="C122" s="2">
        <v>4365.6099999999997</v>
      </c>
      <c r="D122" s="2">
        <v>4466.5600000000004</v>
      </c>
      <c r="E122" s="2">
        <v>4350.3</v>
      </c>
      <c r="F122" t="s">
        <v>127</v>
      </c>
      <c r="G122" s="3">
        <f t="shared" si="4"/>
        <v>-1.6228061339833512E-3</v>
      </c>
      <c r="H122">
        <f t="shared" si="5"/>
        <v>4339.3415000000005</v>
      </c>
      <c r="I122" s="3">
        <f t="shared" si="6"/>
        <v>1.1608300355372103E-2</v>
      </c>
      <c r="J122" s="5" t="str">
        <f t="shared" si="7"/>
        <v>高风险用户</v>
      </c>
    </row>
    <row r="123" spans="1:10" x14ac:dyDescent="0.3">
      <c r="A123" s="1">
        <v>45113</v>
      </c>
      <c r="B123" s="2">
        <v>4365.21</v>
      </c>
      <c r="C123" s="2">
        <v>4461.25</v>
      </c>
      <c r="D123" s="2">
        <v>4465.5</v>
      </c>
      <c r="E123" s="2">
        <v>4327.51</v>
      </c>
      <c r="F123" t="s">
        <v>128</v>
      </c>
      <c r="G123" s="3">
        <f t="shared" si="4"/>
        <v>-2.1323582164508303E-2</v>
      </c>
      <c r="H123">
        <f t="shared" si="5"/>
        <v>4321.5740000000005</v>
      </c>
      <c r="I123" s="3">
        <f t="shared" si="6"/>
        <v>1.1595477306942459E-2</v>
      </c>
      <c r="J123" s="5" t="str">
        <f t="shared" si="7"/>
        <v>高风险用户</v>
      </c>
    </row>
    <row r="124" spans="1:10" x14ac:dyDescent="0.3">
      <c r="A124" s="1">
        <v>45114</v>
      </c>
      <c r="B124" s="2">
        <v>4459.83</v>
      </c>
      <c r="C124" s="2">
        <v>4501.34</v>
      </c>
      <c r="D124" s="2">
        <v>4510.7299999999996</v>
      </c>
      <c r="E124" s="2">
        <v>4427.5200000000004</v>
      </c>
      <c r="F124" t="s">
        <v>129</v>
      </c>
      <c r="G124" s="3">
        <f t="shared" si="4"/>
        <v>2.1675933116619795E-2</v>
      </c>
      <c r="H124">
        <f t="shared" si="5"/>
        <v>4309.0469999999996</v>
      </c>
      <c r="I124" s="3">
        <f t="shared" si="6"/>
        <v>1.0932078499919196E-2</v>
      </c>
      <c r="J124" s="5" t="str">
        <f t="shared" si="7"/>
        <v>高风险用户</v>
      </c>
    </row>
    <row r="125" spans="1:10" x14ac:dyDescent="0.3">
      <c r="A125" s="1">
        <v>45117</v>
      </c>
      <c r="B125" s="2">
        <v>4490.45</v>
      </c>
      <c r="C125" s="2">
        <v>4521.9799999999996</v>
      </c>
      <c r="D125" s="2">
        <v>4548.8900000000003</v>
      </c>
      <c r="E125" s="2">
        <v>4454.42</v>
      </c>
      <c r="F125" t="s">
        <v>130</v>
      </c>
      <c r="G125" s="3">
        <f t="shared" si="4"/>
        <v>6.8657325503438229E-3</v>
      </c>
      <c r="H125">
        <f t="shared" si="5"/>
        <v>4291.7299999999996</v>
      </c>
      <c r="I125" s="3">
        <f t="shared" si="6"/>
        <v>9.3180205378968085E-3</v>
      </c>
      <c r="J125" s="5" t="str">
        <f t="shared" si="7"/>
        <v>低风险用户</v>
      </c>
    </row>
    <row r="126" spans="1:10" x14ac:dyDescent="0.3">
      <c r="A126" s="1">
        <v>45118</v>
      </c>
      <c r="B126" s="2">
        <v>4523.71</v>
      </c>
      <c r="C126" s="2">
        <v>4516.88</v>
      </c>
      <c r="D126" s="2">
        <v>4528.13</v>
      </c>
      <c r="E126" s="2">
        <v>4487.53</v>
      </c>
      <c r="F126" t="s">
        <v>131</v>
      </c>
      <c r="G126" s="3">
        <f t="shared" si="4"/>
        <v>7.4068300504404275E-3</v>
      </c>
      <c r="H126">
        <f t="shared" si="5"/>
        <v>4272.38</v>
      </c>
      <c r="I126" s="3">
        <f t="shared" si="6"/>
        <v>8.9732451604952138E-3</v>
      </c>
      <c r="J126" s="5" t="str">
        <f t="shared" si="7"/>
        <v>低风险用户</v>
      </c>
    </row>
    <row r="127" spans="1:10" x14ac:dyDescent="0.3">
      <c r="A127" s="1">
        <v>45119</v>
      </c>
      <c r="B127" s="2">
        <v>4496.76</v>
      </c>
      <c r="C127" s="2">
        <v>4455.8</v>
      </c>
      <c r="D127" s="2">
        <v>4516.84</v>
      </c>
      <c r="E127" s="2">
        <v>4452.3599999999997</v>
      </c>
      <c r="F127" t="s">
        <v>132</v>
      </c>
      <c r="G127" s="3">
        <f t="shared" si="4"/>
        <v>-5.9574994860412843E-3</v>
      </c>
      <c r="H127">
        <f t="shared" si="5"/>
        <v>4249.7295000000004</v>
      </c>
      <c r="I127" s="3">
        <f t="shared" si="6"/>
        <v>8.5522289329251523E-3</v>
      </c>
      <c r="J127" s="5" t="str">
        <f t="shared" si="7"/>
        <v>低风险用户</v>
      </c>
    </row>
    <row r="128" spans="1:10" x14ac:dyDescent="0.3">
      <c r="A128" s="1">
        <v>45120</v>
      </c>
      <c r="B128" s="2">
        <v>4463.78</v>
      </c>
      <c r="C128" s="2">
        <v>4378.04</v>
      </c>
      <c r="D128" s="2">
        <v>4464.8</v>
      </c>
      <c r="E128" s="2">
        <v>4364.17</v>
      </c>
      <c r="F128" t="s">
        <v>133</v>
      </c>
      <c r="G128" s="3">
        <f t="shared" si="4"/>
        <v>-7.3341694909224578E-3</v>
      </c>
      <c r="H128">
        <f t="shared" si="5"/>
        <v>4227.6379999999999</v>
      </c>
      <c r="I128" s="3">
        <f t="shared" si="6"/>
        <v>8.555552111644972E-3</v>
      </c>
      <c r="J128" s="5" t="str">
        <f t="shared" si="7"/>
        <v>低风险用户</v>
      </c>
    </row>
    <row r="129" spans="1:10" x14ac:dyDescent="0.3">
      <c r="A129" s="1">
        <v>45121</v>
      </c>
      <c r="B129" s="2">
        <v>4386.13</v>
      </c>
      <c r="C129" s="2">
        <v>4458.84</v>
      </c>
      <c r="D129" s="2">
        <v>4494.91</v>
      </c>
      <c r="E129" s="2">
        <v>4386.13</v>
      </c>
      <c r="F129" t="s">
        <v>134</v>
      </c>
      <c r="G129" s="3">
        <f t="shared" si="4"/>
        <v>-1.7395570570234116E-2</v>
      </c>
      <c r="H129">
        <f t="shared" si="5"/>
        <v>4208.2284999999993</v>
      </c>
      <c r="I129" s="3">
        <f t="shared" si="6"/>
        <v>8.8333824588041447E-3</v>
      </c>
      <c r="J129" s="5" t="str">
        <f t="shared" si="7"/>
        <v>低风险用户</v>
      </c>
    </row>
    <row r="130" spans="1:10" x14ac:dyDescent="0.3">
      <c r="A130" s="1">
        <v>45124</v>
      </c>
      <c r="B130" s="2">
        <v>4452.59</v>
      </c>
      <c r="C130" s="2">
        <v>4453.3500000000004</v>
      </c>
      <c r="D130" s="2">
        <v>4476.8</v>
      </c>
      <c r="E130" s="2">
        <v>4435.53</v>
      </c>
      <c r="F130" t="s">
        <v>135</v>
      </c>
      <c r="G130" s="3">
        <f t="shared" si="4"/>
        <v>1.5152309667064139E-2</v>
      </c>
      <c r="H130">
        <f t="shared" si="5"/>
        <v>4196.4839999999995</v>
      </c>
      <c r="I130" s="3">
        <f t="shared" si="6"/>
        <v>9.6887059523844306E-3</v>
      </c>
      <c r="J130" s="5" t="str">
        <f t="shared" si="7"/>
        <v>高风险用户</v>
      </c>
    </row>
    <row r="131" spans="1:10" x14ac:dyDescent="0.3">
      <c r="A131" s="1">
        <v>45125</v>
      </c>
      <c r="B131" s="2">
        <v>4469.22</v>
      </c>
      <c r="C131" s="2">
        <v>4416.29</v>
      </c>
      <c r="D131" s="2">
        <v>4472.6499999999996</v>
      </c>
      <c r="E131" s="2">
        <v>4404.78</v>
      </c>
      <c r="F131" t="s">
        <v>136</v>
      </c>
      <c r="G131" s="3">
        <f t="shared" ref="G131:G194" si="8">IFERROR((B131-B130)/B130,"")</f>
        <v>3.7349048531304498E-3</v>
      </c>
      <c r="H131">
        <f t="shared" ref="H131:H194" si="9">AVERAGE(B131:B150)</f>
        <v>4181.4555</v>
      </c>
      <c r="I131" s="3">
        <f t="shared" ref="I131:I194" si="10">IFERROR(STDEV(G131:G150),"")</f>
        <v>8.7716066888730414E-3</v>
      </c>
      <c r="J131" s="5" t="str">
        <f t="shared" ref="J131:J194" si="11">IF(ROW()&lt;22,"未知",IF(I131&gt;AVERAGE(I:I),"高风险用户","低风险用户"))</f>
        <v>低风险用户</v>
      </c>
    </row>
    <row r="132" spans="1:10" x14ac:dyDescent="0.3">
      <c r="A132" s="1">
        <v>45126</v>
      </c>
      <c r="B132" s="2">
        <v>4378</v>
      </c>
      <c r="C132" s="2">
        <v>4287.3599999999997</v>
      </c>
      <c r="D132" s="2">
        <v>4378.3900000000003</v>
      </c>
      <c r="E132" s="2">
        <v>4287.3599999999997</v>
      </c>
      <c r="F132" t="s">
        <v>137</v>
      </c>
      <c r="G132" s="3">
        <f t="shared" si="8"/>
        <v>-2.0410720438913333E-2</v>
      </c>
      <c r="H132">
        <f t="shared" si="9"/>
        <v>4164.7855</v>
      </c>
      <c r="I132" s="3">
        <f t="shared" si="10"/>
        <v>8.6069689783661828E-3</v>
      </c>
      <c r="J132" s="5" t="str">
        <f t="shared" si="11"/>
        <v>低风险用户</v>
      </c>
    </row>
    <row r="133" spans="1:10" x14ac:dyDescent="0.3">
      <c r="A133" s="1">
        <v>45127</v>
      </c>
      <c r="B133" s="2">
        <v>4288.07</v>
      </c>
      <c r="C133" s="2">
        <v>4284.37</v>
      </c>
      <c r="D133" s="2">
        <v>4308.45</v>
      </c>
      <c r="E133" s="2">
        <v>4273.6499999999996</v>
      </c>
      <c r="F133" t="s">
        <v>138</v>
      </c>
      <c r="G133" s="3">
        <f t="shared" si="8"/>
        <v>-2.0541343079031587E-2</v>
      </c>
      <c r="H133">
        <f t="shared" si="9"/>
        <v>4152.2434999999996</v>
      </c>
      <c r="I133" s="3">
        <f t="shared" si="10"/>
        <v>7.6741873427040664E-3</v>
      </c>
      <c r="J133" s="5" t="str">
        <f t="shared" si="11"/>
        <v>低风险用户</v>
      </c>
    </row>
    <row r="134" spans="1:10" x14ac:dyDescent="0.3">
      <c r="A134" s="1">
        <v>45128</v>
      </c>
      <c r="B134" s="2">
        <v>4271.3999999999996</v>
      </c>
      <c r="C134" s="2">
        <v>4208.3999999999996</v>
      </c>
      <c r="D134" s="2">
        <v>4272.1499999999996</v>
      </c>
      <c r="E134" s="2">
        <v>4190.5600000000004</v>
      </c>
      <c r="F134" t="s">
        <v>139</v>
      </c>
      <c r="G134" s="3">
        <f t="shared" si="8"/>
        <v>-3.8875298211083482E-3</v>
      </c>
      <c r="H134">
        <f t="shared" si="9"/>
        <v>4145.2920000000004</v>
      </c>
      <c r="I134" s="3">
        <f t="shared" si="10"/>
        <v>6.6591603665452871E-3</v>
      </c>
      <c r="J134" s="5" t="str">
        <f t="shared" si="11"/>
        <v>低风险用户</v>
      </c>
    </row>
    <row r="135" spans="1:10" x14ac:dyDescent="0.3">
      <c r="A135" s="1">
        <v>45131</v>
      </c>
      <c r="B135" s="2">
        <v>4223.37</v>
      </c>
      <c r="C135" s="2">
        <v>4241.7700000000004</v>
      </c>
      <c r="D135" s="2">
        <v>4264.2299999999996</v>
      </c>
      <c r="E135" s="2">
        <v>4215.21</v>
      </c>
      <c r="F135" t="s">
        <v>140</v>
      </c>
      <c r="G135" s="3">
        <f t="shared" si="8"/>
        <v>-1.1244556819778E-2</v>
      </c>
      <c r="H135">
        <f t="shared" si="9"/>
        <v>4137.7104999999992</v>
      </c>
      <c r="I135" s="3">
        <f t="shared" si="10"/>
        <v>6.7527782304530213E-3</v>
      </c>
      <c r="J135" s="5" t="str">
        <f t="shared" si="11"/>
        <v>低风险用户</v>
      </c>
    </row>
    <row r="136" spans="1:10" x14ac:dyDescent="0.3">
      <c r="A136" s="1">
        <v>45132</v>
      </c>
      <c r="B136" s="2">
        <v>4239.41</v>
      </c>
      <c r="C136" s="2">
        <v>4218.25</v>
      </c>
      <c r="D136" s="2">
        <v>4272.96</v>
      </c>
      <c r="E136" s="2">
        <v>4203.42</v>
      </c>
      <c r="F136" t="s">
        <v>33</v>
      </c>
      <c r="G136" s="3">
        <f t="shared" si="8"/>
        <v>3.7979149352294411E-3</v>
      </c>
      <c r="H136">
        <f t="shared" si="9"/>
        <v>4132.49</v>
      </c>
      <c r="I136" s="3">
        <f t="shared" si="10"/>
        <v>6.3797178648973473E-3</v>
      </c>
      <c r="J136" s="5" t="str">
        <f t="shared" si="11"/>
        <v>低风险用户</v>
      </c>
    </row>
    <row r="137" spans="1:10" x14ac:dyDescent="0.3">
      <c r="A137" s="1">
        <v>45133</v>
      </c>
      <c r="B137" s="2">
        <v>4202.3500000000004</v>
      </c>
      <c r="C137" s="2">
        <v>4162.42</v>
      </c>
      <c r="D137" s="2">
        <v>4214.7299999999996</v>
      </c>
      <c r="E137" s="2">
        <v>4157.5</v>
      </c>
      <c r="F137" t="s">
        <v>141</v>
      </c>
      <c r="G137" s="3">
        <f t="shared" si="8"/>
        <v>-8.7417824650127002E-3</v>
      </c>
      <c r="H137">
        <f t="shared" si="9"/>
        <v>4124.7999999999993</v>
      </c>
      <c r="I137" s="3">
        <f t="shared" si="10"/>
        <v>6.4403110831407085E-3</v>
      </c>
      <c r="J137" s="5" t="str">
        <f t="shared" si="11"/>
        <v>低风险用户</v>
      </c>
    </row>
    <row r="138" spans="1:10" x14ac:dyDescent="0.3">
      <c r="A138" s="1">
        <v>45134</v>
      </c>
      <c r="B138" s="2">
        <v>4173.3100000000004</v>
      </c>
      <c r="C138" s="2">
        <v>4179.96</v>
      </c>
      <c r="D138" s="2">
        <v>4220.3100000000004</v>
      </c>
      <c r="E138" s="2">
        <v>4165.9399999999996</v>
      </c>
      <c r="F138" t="s">
        <v>142</v>
      </c>
      <c r="G138" s="3">
        <f t="shared" si="8"/>
        <v>-6.9104191702261735E-3</v>
      </c>
      <c r="H138">
        <f t="shared" si="9"/>
        <v>4117.6099999999997</v>
      </c>
      <c r="I138" s="3">
        <f t="shared" si="10"/>
        <v>6.3371796854662455E-3</v>
      </c>
      <c r="J138" s="5" t="str">
        <f t="shared" si="11"/>
        <v>低风险用户</v>
      </c>
    </row>
    <row r="139" spans="1:10" x14ac:dyDescent="0.3">
      <c r="A139" s="1">
        <v>45135</v>
      </c>
      <c r="B139" s="2">
        <v>4176.58</v>
      </c>
      <c r="C139" s="2">
        <v>4150.5</v>
      </c>
      <c r="D139" s="2">
        <v>4186.75</v>
      </c>
      <c r="E139" s="2">
        <v>4147.2</v>
      </c>
      <c r="F139" t="s">
        <v>143</v>
      </c>
      <c r="G139" s="3">
        <f t="shared" si="8"/>
        <v>7.8355070675303938E-4</v>
      </c>
      <c r="H139">
        <f t="shared" si="9"/>
        <v>4110.6689999999999</v>
      </c>
      <c r="I139" s="3">
        <f t="shared" si="10"/>
        <v>6.2985310236839814E-3</v>
      </c>
      <c r="J139" s="5" t="str">
        <f t="shared" si="11"/>
        <v>低风险用户</v>
      </c>
    </row>
    <row r="140" spans="1:10" x14ac:dyDescent="0.3">
      <c r="A140" s="1">
        <v>45138</v>
      </c>
      <c r="B140" s="2">
        <v>4143.83</v>
      </c>
      <c r="C140" s="2">
        <v>4123.58</v>
      </c>
      <c r="D140" s="2">
        <v>4153.29</v>
      </c>
      <c r="E140" s="2">
        <v>4121.22</v>
      </c>
      <c r="F140" t="s">
        <v>144</v>
      </c>
      <c r="G140" s="3">
        <f t="shared" si="8"/>
        <v>-7.841343874653425E-3</v>
      </c>
      <c r="H140">
        <f t="shared" si="9"/>
        <v>4102.2</v>
      </c>
      <c r="I140" s="3">
        <f t="shared" si="10"/>
        <v>6.369421215016967E-3</v>
      </c>
      <c r="J140" s="5" t="str">
        <f t="shared" si="11"/>
        <v>低风险用户</v>
      </c>
    </row>
    <row r="141" spans="1:10" x14ac:dyDescent="0.3">
      <c r="A141" s="1">
        <v>45139</v>
      </c>
      <c r="B141" s="2">
        <v>4122.51</v>
      </c>
      <c r="C141" s="2">
        <v>4110.29</v>
      </c>
      <c r="D141" s="2">
        <v>4134.25</v>
      </c>
      <c r="E141" s="2">
        <v>4103.6000000000004</v>
      </c>
      <c r="F141" t="s">
        <v>145</v>
      </c>
      <c r="G141" s="3">
        <f t="shared" si="8"/>
        <v>-5.1449987089237995E-3</v>
      </c>
      <c r="H141">
        <f t="shared" si="9"/>
        <v>4095.9614999999999</v>
      </c>
      <c r="I141" s="3">
        <f t="shared" si="10"/>
        <v>6.3100452576410762E-3</v>
      </c>
      <c r="J141" s="5" t="str">
        <f t="shared" si="11"/>
        <v>低风险用户</v>
      </c>
    </row>
    <row r="142" spans="1:10" x14ac:dyDescent="0.3">
      <c r="A142" s="1">
        <v>45140</v>
      </c>
      <c r="B142" s="2">
        <v>4104.97</v>
      </c>
      <c r="C142" s="2">
        <v>4109.2700000000004</v>
      </c>
      <c r="D142" s="2">
        <v>4122.21</v>
      </c>
      <c r="E142" s="2">
        <v>4097.42</v>
      </c>
      <c r="F142" t="s">
        <v>146</v>
      </c>
      <c r="G142" s="3">
        <f t="shared" si="8"/>
        <v>-4.2546894974178264E-3</v>
      </c>
      <c r="H142">
        <f t="shared" si="9"/>
        <v>4090.7194999999992</v>
      </c>
      <c r="I142" s="3">
        <f t="shared" si="10"/>
        <v>6.2554991348623178E-3</v>
      </c>
      <c r="J142" s="5" t="str">
        <f t="shared" si="11"/>
        <v>低风险用户</v>
      </c>
    </row>
    <row r="143" spans="1:10" x14ac:dyDescent="0.3">
      <c r="A143" s="1">
        <v>45141</v>
      </c>
      <c r="B143" s="2">
        <v>4114.67</v>
      </c>
      <c r="C143" s="2">
        <v>4120.28</v>
      </c>
      <c r="D143" s="2">
        <v>4129.74</v>
      </c>
      <c r="E143" s="2">
        <v>4094.82</v>
      </c>
      <c r="F143" t="s">
        <v>147</v>
      </c>
      <c r="G143" s="3">
        <f t="shared" si="8"/>
        <v>2.362989254489026E-3</v>
      </c>
      <c r="H143">
        <f t="shared" si="9"/>
        <v>4086.211499999999</v>
      </c>
      <c r="I143" s="3">
        <f t="shared" si="10"/>
        <v>6.2165329023802429E-3</v>
      </c>
      <c r="J143" s="5" t="str">
        <f t="shared" si="11"/>
        <v>低风险用户</v>
      </c>
    </row>
    <row r="144" spans="1:10" x14ac:dyDescent="0.3">
      <c r="A144" s="1">
        <v>45142</v>
      </c>
      <c r="B144" s="2">
        <v>4113.49</v>
      </c>
      <c r="C144" s="2">
        <v>4100.43</v>
      </c>
      <c r="D144" s="2">
        <v>4116.71</v>
      </c>
      <c r="E144" s="2">
        <v>4098.3500000000004</v>
      </c>
      <c r="F144" t="s">
        <v>148</v>
      </c>
      <c r="G144" s="3">
        <f t="shared" si="8"/>
        <v>-2.8677876962193591E-4</v>
      </c>
      <c r="H144">
        <f t="shared" si="9"/>
        <v>4080.9790000000003</v>
      </c>
      <c r="I144" s="3">
        <f t="shared" si="10"/>
        <v>6.1631528356465631E-3</v>
      </c>
      <c r="J144" s="5" t="str">
        <f t="shared" si="11"/>
        <v>低风险用户</v>
      </c>
    </row>
    <row r="145" spans="1:10" x14ac:dyDescent="0.3">
      <c r="A145" s="1">
        <v>45145</v>
      </c>
      <c r="B145" s="2">
        <v>4103.45</v>
      </c>
      <c r="C145" s="2">
        <v>4080.39</v>
      </c>
      <c r="D145" s="2">
        <v>4106.3</v>
      </c>
      <c r="E145" s="2">
        <v>4075.58</v>
      </c>
      <c r="F145" t="s">
        <v>149</v>
      </c>
      <c r="G145" s="3">
        <f t="shared" si="8"/>
        <v>-2.4407498255738956E-3</v>
      </c>
      <c r="H145">
        <f t="shared" si="9"/>
        <v>4074.8744999999994</v>
      </c>
      <c r="I145" s="3">
        <f t="shared" si="10"/>
        <v>6.2034549986766914E-3</v>
      </c>
      <c r="J145" s="5" t="str">
        <f t="shared" si="11"/>
        <v>低风险用户</v>
      </c>
    </row>
    <row r="146" spans="1:10" x14ac:dyDescent="0.3">
      <c r="A146" s="1">
        <v>45146</v>
      </c>
      <c r="B146" s="2">
        <v>4070.7</v>
      </c>
      <c r="C146" s="2">
        <v>4037.94</v>
      </c>
      <c r="D146" s="2">
        <v>4070.7</v>
      </c>
      <c r="E146" s="2">
        <v>4037.94</v>
      </c>
      <c r="F146" t="s">
        <v>150</v>
      </c>
      <c r="G146" s="3">
        <f t="shared" si="8"/>
        <v>-7.9810890835760161E-3</v>
      </c>
      <c r="H146">
        <f t="shared" si="9"/>
        <v>4069.6244999999994</v>
      </c>
      <c r="I146" s="3">
        <f t="shared" si="10"/>
        <v>6.2406351762778712E-3</v>
      </c>
      <c r="J146" s="5" t="str">
        <f t="shared" si="11"/>
        <v>低风险用户</v>
      </c>
    </row>
    <row r="147" spans="1:10" x14ac:dyDescent="0.3">
      <c r="A147" s="1">
        <v>45147</v>
      </c>
      <c r="B147" s="2">
        <v>4054.93</v>
      </c>
      <c r="C147" s="2">
        <v>4069.93</v>
      </c>
      <c r="D147" s="2">
        <v>4085.35</v>
      </c>
      <c r="E147" s="2">
        <v>4040.46</v>
      </c>
      <c r="F147" t="s">
        <v>151</v>
      </c>
      <c r="G147" s="3">
        <f t="shared" si="8"/>
        <v>-3.8740265801950483E-3</v>
      </c>
      <c r="H147">
        <f t="shared" si="9"/>
        <v>4064.347999999999</v>
      </c>
      <c r="I147" s="3">
        <f t="shared" si="10"/>
        <v>6.2604177203711151E-3</v>
      </c>
      <c r="J147" s="5" t="str">
        <f t="shared" si="11"/>
        <v>低风险用户</v>
      </c>
    </row>
    <row r="148" spans="1:10" x14ac:dyDescent="0.3">
      <c r="A148" s="1">
        <v>45148</v>
      </c>
      <c r="B148" s="2">
        <v>4075.59</v>
      </c>
      <c r="C148" s="2">
        <v>4141.5600000000004</v>
      </c>
      <c r="D148" s="2">
        <v>4141.82</v>
      </c>
      <c r="E148" s="2">
        <v>4063.67</v>
      </c>
      <c r="F148" t="s">
        <v>152</v>
      </c>
      <c r="G148" s="3">
        <f t="shared" si="8"/>
        <v>5.0950324666517817E-3</v>
      </c>
      <c r="H148">
        <f t="shared" si="9"/>
        <v>4060.711499999999</v>
      </c>
      <c r="I148" s="3">
        <f t="shared" si="10"/>
        <v>6.3490788983621401E-3</v>
      </c>
      <c r="J148" s="5" t="str">
        <f t="shared" si="11"/>
        <v>低风险用户</v>
      </c>
    </row>
    <row r="149" spans="1:10" x14ac:dyDescent="0.3">
      <c r="A149" s="1">
        <v>45149</v>
      </c>
      <c r="B149" s="2">
        <v>4151.24</v>
      </c>
      <c r="C149" s="2">
        <v>4148.9399999999996</v>
      </c>
      <c r="D149" s="2">
        <v>4185.21</v>
      </c>
      <c r="E149" s="2">
        <v>4127.43</v>
      </c>
      <c r="F149" t="s">
        <v>153</v>
      </c>
      <c r="G149" s="3">
        <f t="shared" si="8"/>
        <v>1.8561729712753154E-2</v>
      </c>
      <c r="H149">
        <f t="shared" si="9"/>
        <v>4055.3354999999997</v>
      </c>
      <c r="I149" s="3">
        <f t="shared" si="10"/>
        <v>6.2132876115953053E-3</v>
      </c>
      <c r="J149" s="5" t="str">
        <f t="shared" si="11"/>
        <v>低风险用户</v>
      </c>
    </row>
    <row r="150" spans="1:10" x14ac:dyDescent="0.3">
      <c r="A150" s="1">
        <v>45152</v>
      </c>
      <c r="B150" s="2">
        <v>4152.0200000000004</v>
      </c>
      <c r="C150" s="2">
        <v>4132.68</v>
      </c>
      <c r="D150" s="2">
        <v>4153.33</v>
      </c>
      <c r="E150" s="2">
        <v>4117.58</v>
      </c>
      <c r="F150" t="s">
        <v>154</v>
      </c>
      <c r="G150" s="3">
        <f t="shared" si="8"/>
        <v>1.8789566490991965E-4</v>
      </c>
      <c r="H150">
        <f t="shared" si="9"/>
        <v>4044.9574999999991</v>
      </c>
      <c r="I150" s="3">
        <f t="shared" si="10"/>
        <v>4.1744697560855935E-3</v>
      </c>
      <c r="J150" s="5" t="str">
        <f t="shared" si="11"/>
        <v>低风险用户</v>
      </c>
    </row>
    <row r="151" spans="1:10" x14ac:dyDescent="0.3">
      <c r="A151" s="1">
        <v>45153</v>
      </c>
      <c r="B151" s="2">
        <v>4135.82</v>
      </c>
      <c r="C151" s="2">
        <v>4128.2</v>
      </c>
      <c r="D151" s="2">
        <v>4146.12</v>
      </c>
      <c r="E151" s="2">
        <v>4112.97</v>
      </c>
      <c r="F151" t="s">
        <v>155</v>
      </c>
      <c r="G151" s="3">
        <f t="shared" si="8"/>
        <v>-3.9017153096566792E-3</v>
      </c>
      <c r="H151">
        <f t="shared" si="9"/>
        <v>4034.4944999999993</v>
      </c>
      <c r="I151" s="3">
        <f t="shared" si="10"/>
        <v>4.1609551396505949E-3</v>
      </c>
      <c r="J151" s="5" t="str">
        <f t="shared" si="11"/>
        <v>低风险用户</v>
      </c>
    </row>
    <row r="152" spans="1:10" x14ac:dyDescent="0.3">
      <c r="A152" s="1">
        <v>45154</v>
      </c>
      <c r="B152" s="2">
        <v>4127.16</v>
      </c>
      <c r="C152" s="2">
        <v>4145.32</v>
      </c>
      <c r="D152" s="2">
        <v>4150.5</v>
      </c>
      <c r="E152" s="2">
        <v>4117.8</v>
      </c>
      <c r="F152" t="s">
        <v>156</v>
      </c>
      <c r="G152" s="3">
        <f t="shared" si="8"/>
        <v>-2.0939015721186741E-3</v>
      </c>
      <c r="H152">
        <f t="shared" si="9"/>
        <v>4024.5074999999988</v>
      </c>
      <c r="I152" s="3">
        <f t="shared" si="10"/>
        <v>4.153156275404731E-3</v>
      </c>
      <c r="J152" s="5" t="str">
        <f t="shared" si="11"/>
        <v>低风险用户</v>
      </c>
    </row>
    <row r="153" spans="1:10" x14ac:dyDescent="0.3">
      <c r="A153" s="1">
        <v>45155</v>
      </c>
      <c r="B153" s="2">
        <v>4149.04</v>
      </c>
      <c r="C153" s="2">
        <v>4116.83</v>
      </c>
      <c r="D153" s="2">
        <v>4152.43</v>
      </c>
      <c r="E153" s="2">
        <v>4111.88</v>
      </c>
      <c r="F153" t="s">
        <v>157</v>
      </c>
      <c r="G153" s="3">
        <f t="shared" si="8"/>
        <v>5.3014663836633688E-3</v>
      </c>
      <c r="H153">
        <f t="shared" si="9"/>
        <v>4014.2374999999984</v>
      </c>
      <c r="I153" s="3">
        <f t="shared" si="10"/>
        <v>4.160266991858735E-3</v>
      </c>
      <c r="J153" s="5" t="str">
        <f t="shared" si="11"/>
        <v>低风险用户</v>
      </c>
    </row>
    <row r="154" spans="1:10" x14ac:dyDescent="0.3">
      <c r="A154" s="1">
        <v>45156</v>
      </c>
      <c r="B154" s="2">
        <v>4119.7700000000004</v>
      </c>
      <c r="C154" s="2">
        <v>4129.1499999999996</v>
      </c>
      <c r="D154" s="2">
        <v>4155.68</v>
      </c>
      <c r="E154" s="2">
        <v>4113.91</v>
      </c>
      <c r="F154" t="s">
        <v>158</v>
      </c>
      <c r="G154" s="3">
        <f t="shared" si="8"/>
        <v>-7.0546439658329459E-3</v>
      </c>
      <c r="H154">
        <f t="shared" si="9"/>
        <v>4004.086499999999</v>
      </c>
      <c r="I154" s="3">
        <f t="shared" si="10"/>
        <v>4.2517218324652495E-3</v>
      </c>
      <c r="J154" s="5" t="str">
        <f t="shared" si="11"/>
        <v>低风险用户</v>
      </c>
    </row>
    <row r="155" spans="1:10" x14ac:dyDescent="0.3">
      <c r="A155" s="1">
        <v>45159</v>
      </c>
      <c r="B155" s="2">
        <v>4118.96</v>
      </c>
      <c r="C155" s="2">
        <v>4087.34</v>
      </c>
      <c r="D155" s="2">
        <v>4119.2</v>
      </c>
      <c r="E155" s="2">
        <v>4068.34</v>
      </c>
      <c r="F155" t="s">
        <v>159</v>
      </c>
      <c r="G155" s="3">
        <f t="shared" si="8"/>
        <v>-1.9661291771152275E-4</v>
      </c>
      <c r="H155">
        <f t="shared" si="9"/>
        <v>3996.1014999999998</v>
      </c>
      <c r="I155" s="3">
        <f t="shared" si="10"/>
        <v>4.3148923422603553E-3</v>
      </c>
      <c r="J155" s="5" t="str">
        <f t="shared" si="11"/>
        <v>低风险用户</v>
      </c>
    </row>
    <row r="156" spans="1:10" x14ac:dyDescent="0.3">
      <c r="A156" s="1">
        <v>45160</v>
      </c>
      <c r="B156" s="2">
        <v>4085.61</v>
      </c>
      <c r="C156" s="2">
        <v>4069.77</v>
      </c>
      <c r="D156" s="2">
        <v>4086.12</v>
      </c>
      <c r="E156" s="2">
        <v>4063.44</v>
      </c>
      <c r="F156" t="s">
        <v>160</v>
      </c>
      <c r="G156" s="3">
        <f t="shared" si="8"/>
        <v>-8.0967040223745585E-3</v>
      </c>
      <c r="H156">
        <f t="shared" si="9"/>
        <v>3985.3550000000005</v>
      </c>
      <c r="I156" s="3">
        <f t="shared" si="10"/>
        <v>5.0750251305624189E-3</v>
      </c>
      <c r="J156" s="5" t="str">
        <f t="shared" si="11"/>
        <v>低风险用户</v>
      </c>
    </row>
    <row r="157" spans="1:10" x14ac:dyDescent="0.3">
      <c r="A157" s="1">
        <v>45161</v>
      </c>
      <c r="B157" s="2">
        <v>4058.55</v>
      </c>
      <c r="C157" s="2">
        <v>4039.87</v>
      </c>
      <c r="D157" s="2">
        <v>4064.64</v>
      </c>
      <c r="E157" s="2">
        <v>4039.32</v>
      </c>
      <c r="F157" t="s">
        <v>161</v>
      </c>
      <c r="G157" s="3">
        <f t="shared" si="8"/>
        <v>-6.6232459779567666E-3</v>
      </c>
      <c r="H157">
        <f t="shared" si="9"/>
        <v>3973.9695000000002</v>
      </c>
      <c r="I157" s="3">
        <f t="shared" si="10"/>
        <v>5.3455195286345328E-3</v>
      </c>
      <c r="J157" s="5" t="str">
        <f t="shared" si="11"/>
        <v>低风险用户</v>
      </c>
    </row>
    <row r="158" spans="1:10" x14ac:dyDescent="0.3">
      <c r="A158" s="1">
        <v>45162</v>
      </c>
      <c r="B158" s="2">
        <v>4034.49</v>
      </c>
      <c r="C158" s="2">
        <v>4005.07</v>
      </c>
      <c r="D158" s="2">
        <v>4034.59</v>
      </c>
      <c r="E158" s="2">
        <v>4005.07</v>
      </c>
      <c r="F158" t="s">
        <v>162</v>
      </c>
      <c r="G158" s="3">
        <f t="shared" si="8"/>
        <v>-5.928225597812125E-3</v>
      </c>
      <c r="H158">
        <f t="shared" si="9"/>
        <v>3963.3739999999998</v>
      </c>
      <c r="I158" s="3">
        <f t="shared" si="10"/>
        <v>5.2715507557999372E-3</v>
      </c>
      <c r="J158" s="5" t="str">
        <f t="shared" si="11"/>
        <v>低风险用户</v>
      </c>
    </row>
    <row r="159" spans="1:10" x14ac:dyDescent="0.3">
      <c r="A159" s="1">
        <v>45163</v>
      </c>
      <c r="B159" s="2">
        <v>4007.2</v>
      </c>
      <c r="C159" s="2">
        <v>4019.39</v>
      </c>
      <c r="D159" s="2">
        <v>4027.86</v>
      </c>
      <c r="E159" s="2">
        <v>3993.92</v>
      </c>
      <c r="F159" t="s">
        <v>163</v>
      </c>
      <c r="G159" s="3">
        <f t="shared" si="8"/>
        <v>-6.7641758933594991E-3</v>
      </c>
      <c r="H159">
        <f t="shared" si="9"/>
        <v>3953.8039999999992</v>
      </c>
      <c r="I159" s="3">
        <f t="shared" si="10"/>
        <v>5.227074100828474E-3</v>
      </c>
      <c r="J159" s="5" t="str">
        <f t="shared" si="11"/>
        <v>低风险用户</v>
      </c>
    </row>
    <row r="160" spans="1:10" x14ac:dyDescent="0.3">
      <c r="A160" s="1">
        <v>45166</v>
      </c>
      <c r="B160" s="2">
        <v>4019.06</v>
      </c>
      <c r="C160" s="2">
        <v>4023.99</v>
      </c>
      <c r="D160" s="2">
        <v>4042.66</v>
      </c>
      <c r="E160" s="2">
        <v>3994.26</v>
      </c>
      <c r="F160" t="s">
        <v>164</v>
      </c>
      <c r="G160" s="3">
        <f t="shared" si="8"/>
        <v>2.9596725893392215E-3</v>
      </c>
      <c r="H160">
        <f t="shared" si="9"/>
        <v>3947.1925000000001</v>
      </c>
      <c r="I160" s="3">
        <f t="shared" si="10"/>
        <v>5.6361468350321726E-3</v>
      </c>
      <c r="J160" s="5" t="str">
        <f t="shared" si="11"/>
        <v>低风险用户</v>
      </c>
    </row>
    <row r="161" spans="1:10" x14ac:dyDescent="0.3">
      <c r="A161" s="1">
        <v>45167</v>
      </c>
      <c r="B161" s="2">
        <v>4017.67</v>
      </c>
      <c r="C161" s="2">
        <v>4021.21</v>
      </c>
      <c r="D161" s="2">
        <v>4034.92</v>
      </c>
      <c r="E161" s="2">
        <v>4017.67</v>
      </c>
      <c r="F161" t="s">
        <v>165</v>
      </c>
      <c r="G161" s="3">
        <f t="shared" si="8"/>
        <v>-3.4585201514778896E-4</v>
      </c>
      <c r="H161">
        <f t="shared" si="9"/>
        <v>3939.7584999999999</v>
      </c>
      <c r="I161" s="3">
        <f t="shared" si="10"/>
        <v>5.5325493552670305E-3</v>
      </c>
      <c r="J161" s="5" t="str">
        <f t="shared" si="11"/>
        <v>低风险用户</v>
      </c>
    </row>
    <row r="162" spans="1:10" x14ac:dyDescent="0.3">
      <c r="A162" s="1">
        <v>45168</v>
      </c>
      <c r="B162" s="2">
        <v>4014.81</v>
      </c>
      <c r="C162" s="2">
        <v>4011.47</v>
      </c>
      <c r="D162" s="2">
        <v>4065.94</v>
      </c>
      <c r="E162" s="2">
        <v>4010.11</v>
      </c>
      <c r="F162" t="s">
        <v>166</v>
      </c>
      <c r="G162" s="3">
        <f t="shared" si="8"/>
        <v>-7.1185537886390049E-4</v>
      </c>
      <c r="H162">
        <f t="shared" si="9"/>
        <v>3932.5650000000001</v>
      </c>
      <c r="I162" s="3">
        <f t="shared" si="10"/>
        <v>5.5571334729838428E-3</v>
      </c>
      <c r="J162" s="5" t="str">
        <f t="shared" si="11"/>
        <v>低风险用户</v>
      </c>
    </row>
    <row r="163" spans="1:10" x14ac:dyDescent="0.3">
      <c r="A163" s="1">
        <v>45169</v>
      </c>
      <c r="B163" s="2">
        <v>4010.02</v>
      </c>
      <c r="C163" s="2">
        <v>3993.42</v>
      </c>
      <c r="D163" s="2">
        <v>4032.98</v>
      </c>
      <c r="E163" s="2">
        <v>3992.52</v>
      </c>
      <c r="F163" t="s">
        <v>167</v>
      </c>
      <c r="G163" s="3">
        <f t="shared" si="8"/>
        <v>-1.1930826116304293E-3</v>
      </c>
      <c r="H163">
        <f t="shared" si="9"/>
        <v>3925.0335</v>
      </c>
      <c r="I163" s="3">
        <f t="shared" si="10"/>
        <v>5.5528767213721157E-3</v>
      </c>
      <c r="J163" s="5" t="str">
        <f t="shared" si="11"/>
        <v>低风险用户</v>
      </c>
    </row>
    <row r="164" spans="1:10" x14ac:dyDescent="0.3">
      <c r="A164" s="1">
        <v>45170</v>
      </c>
      <c r="B164" s="2">
        <v>3991.4</v>
      </c>
      <c r="C164" s="2">
        <v>3997.5</v>
      </c>
      <c r="D164" s="2">
        <v>4016.74</v>
      </c>
      <c r="E164" s="2">
        <v>3987.43</v>
      </c>
      <c r="F164" t="s">
        <v>168</v>
      </c>
      <c r="G164" s="3">
        <f t="shared" si="8"/>
        <v>-4.6433683622525302E-3</v>
      </c>
      <c r="H164">
        <f t="shared" si="9"/>
        <v>3919.1425000000004</v>
      </c>
      <c r="I164" s="3">
        <f t="shared" si="10"/>
        <v>5.9181173835540328E-3</v>
      </c>
      <c r="J164" s="5" t="str">
        <f t="shared" si="11"/>
        <v>低风险用户</v>
      </c>
    </row>
    <row r="165" spans="1:10" x14ac:dyDescent="0.3">
      <c r="A165" s="1">
        <v>45173</v>
      </c>
      <c r="B165" s="2">
        <v>3998.45</v>
      </c>
      <c r="C165" s="2">
        <v>3965.43</v>
      </c>
      <c r="D165" s="2">
        <v>4002.27</v>
      </c>
      <c r="E165" s="2">
        <v>3965.43</v>
      </c>
      <c r="F165" t="s">
        <v>169</v>
      </c>
      <c r="G165" s="3">
        <f t="shared" si="8"/>
        <v>1.766297539710309E-3</v>
      </c>
      <c r="H165">
        <f t="shared" si="9"/>
        <v>3914.3039999999992</v>
      </c>
      <c r="I165" s="3">
        <f t="shared" si="10"/>
        <v>5.8867439335082011E-3</v>
      </c>
      <c r="J165" s="5" t="str">
        <f t="shared" si="11"/>
        <v>低风险用户</v>
      </c>
    </row>
    <row r="166" spans="1:10" x14ac:dyDescent="0.3">
      <c r="A166" s="1">
        <v>45174</v>
      </c>
      <c r="B166" s="2">
        <v>3965.17</v>
      </c>
      <c r="C166" s="2">
        <v>3977.29</v>
      </c>
      <c r="D166" s="2">
        <v>3979.75</v>
      </c>
      <c r="E166" s="2">
        <v>3956.57</v>
      </c>
      <c r="F166" t="s">
        <v>170</v>
      </c>
      <c r="G166" s="3">
        <f t="shared" si="8"/>
        <v>-8.3232252497842281E-3</v>
      </c>
      <c r="H166">
        <f t="shared" si="9"/>
        <v>3907.6550000000002</v>
      </c>
      <c r="I166" s="3">
        <f t="shared" si="10"/>
        <v>6.0030122786036231E-3</v>
      </c>
      <c r="J166" s="5" t="str">
        <f t="shared" si="11"/>
        <v>低风险用户</v>
      </c>
    </row>
    <row r="167" spans="1:10" x14ac:dyDescent="0.3">
      <c r="A167" s="1">
        <v>45175</v>
      </c>
      <c r="B167" s="2">
        <v>3982.2</v>
      </c>
      <c r="C167" s="2">
        <v>3967.46</v>
      </c>
      <c r="D167" s="2">
        <v>4013.85</v>
      </c>
      <c r="E167" s="2">
        <v>3958.38</v>
      </c>
      <c r="F167" t="s">
        <v>171</v>
      </c>
      <c r="G167" s="3">
        <f t="shared" si="8"/>
        <v>4.2948978227918969E-3</v>
      </c>
      <c r="H167">
        <f t="shared" si="9"/>
        <v>3903.6590000000006</v>
      </c>
      <c r="I167" s="3">
        <f t="shared" si="10"/>
        <v>5.9715272353374552E-3</v>
      </c>
      <c r="J167" s="5" t="str">
        <f t="shared" si="11"/>
        <v>低风险用户</v>
      </c>
    </row>
    <row r="168" spans="1:10" x14ac:dyDescent="0.3">
      <c r="A168" s="1">
        <v>45176</v>
      </c>
      <c r="B168" s="2">
        <v>3968.07</v>
      </c>
      <c r="C168" s="2">
        <v>3949.4</v>
      </c>
      <c r="D168" s="2">
        <v>3971.62</v>
      </c>
      <c r="E168" s="2">
        <v>3945.14</v>
      </c>
      <c r="F168" t="s">
        <v>172</v>
      </c>
      <c r="G168" s="3">
        <f t="shared" si="8"/>
        <v>-3.5482898900104603E-3</v>
      </c>
      <c r="H168">
        <f t="shared" si="9"/>
        <v>3898.2479999999996</v>
      </c>
      <c r="I168" s="3">
        <f t="shared" si="10"/>
        <v>5.8512409417424693E-3</v>
      </c>
      <c r="J168" s="5" t="str">
        <f t="shared" si="11"/>
        <v>低风险用户</v>
      </c>
    </row>
    <row r="169" spans="1:10" x14ac:dyDescent="0.3">
      <c r="A169" s="1">
        <v>45177</v>
      </c>
      <c r="B169" s="2">
        <v>3943.68</v>
      </c>
      <c r="C169" s="2">
        <v>3943.32</v>
      </c>
      <c r="D169" s="2">
        <v>3952.14</v>
      </c>
      <c r="E169" s="2">
        <v>3929.7</v>
      </c>
      <c r="F169" t="s">
        <v>173</v>
      </c>
      <c r="G169" s="3">
        <f t="shared" si="8"/>
        <v>-6.1465649547513849E-3</v>
      </c>
      <c r="H169">
        <f t="shared" si="9"/>
        <v>3893.7224999999989</v>
      </c>
      <c r="I169" s="3">
        <f t="shared" si="10"/>
        <v>5.8486837943179616E-3</v>
      </c>
      <c r="J169" s="5" t="str">
        <f t="shared" si="11"/>
        <v>低风险用户</v>
      </c>
    </row>
    <row r="170" spans="1:10" x14ac:dyDescent="0.3">
      <c r="A170" s="1">
        <v>45180</v>
      </c>
      <c r="B170" s="2">
        <v>3942.76</v>
      </c>
      <c r="C170" s="2">
        <v>3935.91</v>
      </c>
      <c r="D170" s="2">
        <v>3946.25</v>
      </c>
      <c r="E170" s="2">
        <v>3924.72</v>
      </c>
      <c r="F170" t="s">
        <v>174</v>
      </c>
      <c r="G170" s="3">
        <f t="shared" si="8"/>
        <v>-2.3328464784151302E-4</v>
      </c>
      <c r="H170">
        <f t="shared" si="9"/>
        <v>3889.9755000000005</v>
      </c>
      <c r="I170" s="3">
        <f t="shared" si="10"/>
        <v>5.7371443589369474E-3</v>
      </c>
      <c r="J170" s="5" t="str">
        <f t="shared" si="11"/>
        <v>低风险用户</v>
      </c>
    </row>
    <row r="171" spans="1:10" x14ac:dyDescent="0.3">
      <c r="A171" s="1">
        <v>45181</v>
      </c>
      <c r="B171" s="2">
        <v>3936.08</v>
      </c>
      <c r="C171" s="2">
        <v>3920.31</v>
      </c>
      <c r="D171" s="2">
        <v>3940.36</v>
      </c>
      <c r="E171" s="2">
        <v>3911.6</v>
      </c>
      <c r="F171" t="s">
        <v>175</v>
      </c>
      <c r="G171" s="3">
        <f t="shared" si="8"/>
        <v>-1.6942446408100646E-3</v>
      </c>
      <c r="H171">
        <f t="shared" si="9"/>
        <v>3885.4379999999996</v>
      </c>
      <c r="I171" s="3">
        <f t="shared" si="10"/>
        <v>5.7832515083724003E-3</v>
      </c>
      <c r="J171" s="5" t="str">
        <f t="shared" si="11"/>
        <v>低风险用户</v>
      </c>
    </row>
    <row r="172" spans="1:10" x14ac:dyDescent="0.3">
      <c r="A172" s="1">
        <v>45182</v>
      </c>
      <c r="B172" s="2">
        <v>3921.76</v>
      </c>
      <c r="C172" s="2">
        <v>3949.79</v>
      </c>
      <c r="D172" s="2">
        <v>3969.26</v>
      </c>
      <c r="E172" s="2">
        <v>3918.2</v>
      </c>
      <c r="F172" t="s">
        <v>79</v>
      </c>
      <c r="G172" s="3">
        <f t="shared" si="8"/>
        <v>-3.6381374362308969E-3</v>
      </c>
      <c r="H172">
        <f t="shared" si="9"/>
        <v>3880.6455000000001</v>
      </c>
      <c r="I172" s="3">
        <f t="shared" si="10"/>
        <v>5.7980580839814755E-3</v>
      </c>
      <c r="J172" s="5" t="str">
        <f t="shared" si="11"/>
        <v>低风险用户</v>
      </c>
    </row>
    <row r="173" spans="1:10" x14ac:dyDescent="0.3">
      <c r="A173" s="1">
        <v>45183</v>
      </c>
      <c r="B173" s="2">
        <v>3946.02</v>
      </c>
      <c r="C173" s="2">
        <v>3953.16</v>
      </c>
      <c r="D173" s="2">
        <v>3964.48</v>
      </c>
      <c r="E173" s="2">
        <v>3945.26</v>
      </c>
      <c r="F173" t="s">
        <v>176</v>
      </c>
      <c r="G173" s="3">
        <f t="shared" si="8"/>
        <v>6.1859981232915227E-3</v>
      </c>
      <c r="H173">
        <f t="shared" si="9"/>
        <v>3877.4924999999994</v>
      </c>
      <c r="I173" s="3">
        <f t="shared" si="10"/>
        <v>5.918761609461338E-3</v>
      </c>
      <c r="J173" s="5" t="str">
        <f t="shared" si="11"/>
        <v>低风险用户</v>
      </c>
    </row>
    <row r="174" spans="1:10" x14ac:dyDescent="0.3">
      <c r="A174" s="1">
        <v>45184</v>
      </c>
      <c r="B174" s="2">
        <v>3960.07</v>
      </c>
      <c r="C174" s="2">
        <v>3907.07</v>
      </c>
      <c r="D174" s="2">
        <v>3963.04</v>
      </c>
      <c r="E174" s="2">
        <v>3902.18</v>
      </c>
      <c r="F174" t="s">
        <v>177</v>
      </c>
      <c r="G174" s="3">
        <f t="shared" si="8"/>
        <v>3.5605496170825748E-3</v>
      </c>
      <c r="H174">
        <f t="shared" si="9"/>
        <v>3872.0034999999998</v>
      </c>
      <c r="I174" s="3">
        <f t="shared" si="10"/>
        <v>5.7808837863970635E-3</v>
      </c>
      <c r="J174" s="5" t="str">
        <f t="shared" si="11"/>
        <v>低风险用户</v>
      </c>
    </row>
    <row r="175" spans="1:10" x14ac:dyDescent="0.3">
      <c r="A175" s="1">
        <v>45187</v>
      </c>
      <c r="B175" s="2">
        <v>3904.03</v>
      </c>
      <c r="C175" s="2">
        <v>3862.39</v>
      </c>
      <c r="D175" s="2">
        <v>3914.16</v>
      </c>
      <c r="E175" s="2">
        <v>3862.39</v>
      </c>
      <c r="F175" t="s">
        <v>178</v>
      </c>
      <c r="G175" s="3">
        <f t="shared" si="8"/>
        <v>-1.4151265002891354E-2</v>
      </c>
      <c r="H175">
        <f t="shared" si="9"/>
        <v>3865.97</v>
      </c>
      <c r="I175" s="3">
        <f t="shared" si="10"/>
        <v>5.689098139744663E-3</v>
      </c>
      <c r="J175" s="5" t="str">
        <f t="shared" si="11"/>
        <v>低风险用户</v>
      </c>
    </row>
    <row r="176" spans="1:10" x14ac:dyDescent="0.3">
      <c r="A176" s="1">
        <v>45188</v>
      </c>
      <c r="B176" s="2">
        <v>3857.9</v>
      </c>
      <c r="C176" s="2">
        <v>3831.17</v>
      </c>
      <c r="D176" s="2">
        <v>3867.59</v>
      </c>
      <c r="E176" s="2">
        <v>3827.08</v>
      </c>
      <c r="F176" t="s">
        <v>179</v>
      </c>
      <c r="G176" s="3">
        <f t="shared" si="8"/>
        <v>-1.1815995266429844E-2</v>
      </c>
      <c r="H176">
        <f t="shared" si="9"/>
        <v>3863.7740000000003</v>
      </c>
      <c r="I176" s="3">
        <f t="shared" si="10"/>
        <v>5.0498690187286656E-3</v>
      </c>
      <c r="J176" s="5" t="str">
        <f t="shared" si="11"/>
        <v>低风险用户</v>
      </c>
    </row>
    <row r="177" spans="1:10" x14ac:dyDescent="0.3">
      <c r="A177" s="1">
        <v>45189</v>
      </c>
      <c r="B177" s="2">
        <v>3846.64</v>
      </c>
      <c r="C177" s="2">
        <v>3839.78</v>
      </c>
      <c r="D177" s="2">
        <v>3856.48</v>
      </c>
      <c r="E177" s="2">
        <v>3839.78</v>
      </c>
      <c r="F177" t="s">
        <v>180</v>
      </c>
      <c r="G177" s="3">
        <f t="shared" si="8"/>
        <v>-2.918686331942305E-3</v>
      </c>
      <c r="H177">
        <f t="shared" si="9"/>
        <v>3864.9925000000003</v>
      </c>
      <c r="I177" s="3">
        <f t="shared" si="10"/>
        <v>4.4831898464541414E-3</v>
      </c>
      <c r="J177" s="5" t="str">
        <f t="shared" si="11"/>
        <v>低风险用户</v>
      </c>
    </row>
    <row r="178" spans="1:10" x14ac:dyDescent="0.3">
      <c r="A178" s="1">
        <v>45190</v>
      </c>
      <c r="B178" s="2">
        <v>3843.09</v>
      </c>
      <c r="C178" s="2">
        <v>3870.05</v>
      </c>
      <c r="D178" s="2">
        <v>3872.94</v>
      </c>
      <c r="E178" s="2">
        <v>3834.95</v>
      </c>
      <c r="F178" t="s">
        <v>181</v>
      </c>
      <c r="G178" s="3">
        <f t="shared" si="8"/>
        <v>-9.2288334754479946E-4</v>
      </c>
      <c r="H178">
        <f t="shared" si="9"/>
        <v>3868.3535000000002</v>
      </c>
      <c r="I178" s="3">
        <f t="shared" si="10"/>
        <v>4.7366851782492106E-3</v>
      </c>
      <c r="J178" s="5" t="str">
        <f t="shared" si="11"/>
        <v>低风险用户</v>
      </c>
    </row>
    <row r="179" spans="1:10" x14ac:dyDescent="0.3">
      <c r="A179" s="1">
        <v>45191</v>
      </c>
      <c r="B179" s="2">
        <v>3874.97</v>
      </c>
      <c r="C179" s="2">
        <v>3871.65</v>
      </c>
      <c r="D179" s="2">
        <v>3881.35</v>
      </c>
      <c r="E179" s="2">
        <v>3854.66</v>
      </c>
      <c r="F179" t="s">
        <v>182</v>
      </c>
      <c r="G179" s="3">
        <f t="shared" si="8"/>
        <v>8.2954081221099825E-3</v>
      </c>
      <c r="H179">
        <f t="shared" si="9"/>
        <v>3872.0180000000009</v>
      </c>
      <c r="I179" s="3">
        <f t="shared" si="10"/>
        <v>4.718267296895829E-3</v>
      </c>
      <c r="J179" s="5" t="str">
        <f t="shared" si="11"/>
        <v>低风险用户</v>
      </c>
    </row>
    <row r="180" spans="1:10" x14ac:dyDescent="0.3">
      <c r="A180" s="1">
        <v>45194</v>
      </c>
      <c r="B180" s="2">
        <v>3870.38</v>
      </c>
      <c r="C180" s="2">
        <v>3875.18</v>
      </c>
      <c r="D180" s="2">
        <v>3880.42</v>
      </c>
      <c r="E180" s="2">
        <v>3860.41</v>
      </c>
      <c r="F180" t="s">
        <v>183</v>
      </c>
      <c r="G180" s="3">
        <f t="shared" si="8"/>
        <v>-1.1845252995506266E-3</v>
      </c>
      <c r="H180">
        <f t="shared" si="9"/>
        <v>3873.1780000000008</v>
      </c>
      <c r="I180" s="3">
        <f t="shared" si="10"/>
        <v>4.5430438447590657E-3</v>
      </c>
      <c r="J180" s="5" t="str">
        <f t="shared" si="11"/>
        <v>低风险用户</v>
      </c>
    </row>
    <row r="181" spans="1:10" x14ac:dyDescent="0.3">
      <c r="A181" s="1">
        <v>45195</v>
      </c>
      <c r="B181" s="2">
        <v>3873.8</v>
      </c>
      <c r="C181" s="2">
        <v>3853.62</v>
      </c>
      <c r="D181" s="2">
        <v>3876.17</v>
      </c>
      <c r="E181" s="2">
        <v>3853.62</v>
      </c>
      <c r="F181" t="s">
        <v>184</v>
      </c>
      <c r="G181" s="3">
        <f t="shared" si="8"/>
        <v>8.8363416512075626E-4</v>
      </c>
      <c r="H181">
        <f t="shared" si="9"/>
        <v>3873.5165000000002</v>
      </c>
      <c r="I181" s="3">
        <f t="shared" si="10"/>
        <v>4.7101709787560689E-3</v>
      </c>
      <c r="J181" s="5" t="str">
        <f t="shared" si="11"/>
        <v>低风险用户</v>
      </c>
    </row>
    <row r="182" spans="1:10" x14ac:dyDescent="0.3">
      <c r="A182" s="1">
        <v>45196</v>
      </c>
      <c r="B182" s="2">
        <v>3864.18</v>
      </c>
      <c r="C182" s="2">
        <v>3881.49</v>
      </c>
      <c r="D182" s="2">
        <v>3889.16</v>
      </c>
      <c r="E182" s="2">
        <v>3853.82</v>
      </c>
      <c r="F182" t="s">
        <v>185</v>
      </c>
      <c r="G182" s="3">
        <f t="shared" si="8"/>
        <v>-2.4833496824824062E-3</v>
      </c>
      <c r="H182">
        <f t="shared" si="9"/>
        <v>3874.280999999999</v>
      </c>
      <c r="I182" s="3">
        <f t="shared" si="10"/>
        <v>4.7548333390008196E-3</v>
      </c>
      <c r="J182" s="5" t="str">
        <f t="shared" si="11"/>
        <v>低风险用户</v>
      </c>
    </row>
    <row r="183" spans="1:10" x14ac:dyDescent="0.3">
      <c r="A183" s="1">
        <v>45197</v>
      </c>
      <c r="B183" s="2">
        <v>3892.2</v>
      </c>
      <c r="C183" s="2">
        <v>3885.52</v>
      </c>
      <c r="D183" s="2">
        <v>3900.04</v>
      </c>
      <c r="E183" s="2">
        <v>3870.38</v>
      </c>
      <c r="F183" t="s">
        <v>186</v>
      </c>
      <c r="G183" s="3">
        <f t="shared" si="8"/>
        <v>7.2512150055121611E-3</v>
      </c>
      <c r="H183">
        <f t="shared" si="9"/>
        <v>3876.4319999999993</v>
      </c>
      <c r="I183" s="3">
        <f t="shared" si="10"/>
        <v>4.8098708550008591E-3</v>
      </c>
      <c r="J183" s="5" t="str">
        <f t="shared" si="11"/>
        <v>低风险用户</v>
      </c>
    </row>
    <row r="184" spans="1:10" x14ac:dyDescent="0.3">
      <c r="A184" s="1">
        <v>45208</v>
      </c>
      <c r="B184" s="2">
        <v>3894.63</v>
      </c>
      <c r="C184" s="2">
        <v>3870.67</v>
      </c>
      <c r="D184" s="2">
        <v>3911.61</v>
      </c>
      <c r="E184" s="2">
        <v>3870.67</v>
      </c>
      <c r="F184" t="s">
        <v>187</v>
      </c>
      <c r="G184" s="3">
        <f t="shared" si="8"/>
        <v>6.2432557422544867E-4</v>
      </c>
      <c r="H184">
        <f t="shared" si="9"/>
        <v>3878.9824999999996</v>
      </c>
      <c r="I184" s="3">
        <f t="shared" si="10"/>
        <v>4.971022246858919E-3</v>
      </c>
      <c r="J184" s="5" t="str">
        <f t="shared" si="11"/>
        <v>低风险用户</v>
      </c>
    </row>
    <row r="185" spans="1:10" x14ac:dyDescent="0.3">
      <c r="A185" s="1">
        <v>45209</v>
      </c>
      <c r="B185" s="2">
        <v>3865.47</v>
      </c>
      <c r="C185" s="2">
        <v>3887.55</v>
      </c>
      <c r="D185" s="2">
        <v>3897.46</v>
      </c>
      <c r="E185" s="2">
        <v>3850.47</v>
      </c>
      <c r="F185" t="s">
        <v>188</v>
      </c>
      <c r="G185" s="3">
        <f t="shared" si="8"/>
        <v>-7.4872324200245741E-3</v>
      </c>
      <c r="H185">
        <f t="shared" si="9"/>
        <v>3879.0639999999999</v>
      </c>
      <c r="I185" s="3">
        <f t="shared" si="10"/>
        <v>5.7107939583633891E-3</v>
      </c>
      <c r="J185" s="5" t="str">
        <f t="shared" si="11"/>
        <v>低风险用户</v>
      </c>
    </row>
    <row r="186" spans="1:10" x14ac:dyDescent="0.3">
      <c r="A186" s="1">
        <v>45210</v>
      </c>
      <c r="B186" s="2">
        <v>3885.25</v>
      </c>
      <c r="C186" s="2">
        <v>3877.8</v>
      </c>
      <c r="D186" s="2">
        <v>3894.65</v>
      </c>
      <c r="E186" s="2">
        <v>3871.99</v>
      </c>
      <c r="F186" t="s">
        <v>189</v>
      </c>
      <c r="G186" s="3">
        <f t="shared" si="8"/>
        <v>5.1171008958807596E-3</v>
      </c>
      <c r="H186">
        <f t="shared" si="9"/>
        <v>3880.3209999999999</v>
      </c>
      <c r="I186" s="3">
        <f t="shared" si="10"/>
        <v>5.4455785954378522E-3</v>
      </c>
      <c r="J186" s="5" t="str">
        <f t="shared" si="11"/>
        <v>低风险用户</v>
      </c>
    </row>
    <row r="187" spans="1:10" x14ac:dyDescent="0.3">
      <c r="A187" s="1">
        <v>45211</v>
      </c>
      <c r="B187" s="2">
        <v>3873.98</v>
      </c>
      <c r="C187" s="2">
        <v>3878.1</v>
      </c>
      <c r="D187" s="2">
        <v>3889.46</v>
      </c>
      <c r="E187" s="2">
        <v>3869.39</v>
      </c>
      <c r="F187" t="s">
        <v>190</v>
      </c>
      <c r="G187" s="3">
        <f t="shared" si="8"/>
        <v>-2.9007142397529072E-3</v>
      </c>
      <c r="H187">
        <f t="shared" si="9"/>
        <v>3878.3665000000001</v>
      </c>
      <c r="I187" s="3">
        <f t="shared" si="10"/>
        <v>5.9173544474759397E-3</v>
      </c>
      <c r="J187" s="5" t="str">
        <f t="shared" si="11"/>
        <v>低风险用户</v>
      </c>
    </row>
    <row r="188" spans="1:10" x14ac:dyDescent="0.3">
      <c r="A188" s="1">
        <v>45212</v>
      </c>
      <c r="B188" s="2">
        <v>3877.56</v>
      </c>
      <c r="C188" s="2">
        <v>3872.64</v>
      </c>
      <c r="D188" s="2">
        <v>3883.13</v>
      </c>
      <c r="E188" s="2">
        <v>3861.27</v>
      </c>
      <c r="F188" t="s">
        <v>191</v>
      </c>
      <c r="G188" s="3">
        <f t="shared" si="8"/>
        <v>9.2411421845232217E-4</v>
      </c>
      <c r="H188">
        <f t="shared" si="9"/>
        <v>3877.3124999999991</v>
      </c>
      <c r="I188" s="3">
        <f t="shared" si="10"/>
        <v>5.9090022496459289E-3</v>
      </c>
      <c r="J188" s="5" t="str">
        <f t="shared" si="11"/>
        <v>低风险用户</v>
      </c>
    </row>
    <row r="189" spans="1:10" x14ac:dyDescent="0.3">
      <c r="A189" s="1">
        <v>45215</v>
      </c>
      <c r="B189" s="2">
        <v>3868.74</v>
      </c>
      <c r="C189" s="2">
        <v>3855.49</v>
      </c>
      <c r="D189" s="2">
        <v>3875.86</v>
      </c>
      <c r="E189" s="2">
        <v>3855.49</v>
      </c>
      <c r="F189" t="s">
        <v>192</v>
      </c>
      <c r="G189" s="3">
        <f t="shared" si="8"/>
        <v>-2.2746263113917423E-3</v>
      </c>
      <c r="H189">
        <f t="shared" si="9"/>
        <v>3875.0159999999996</v>
      </c>
      <c r="I189" s="3">
        <f t="shared" si="10"/>
        <v>6.0160028797668023E-3</v>
      </c>
      <c r="J189" s="5" t="str">
        <f t="shared" si="11"/>
        <v>低风险用户</v>
      </c>
    </row>
    <row r="190" spans="1:10" x14ac:dyDescent="0.3">
      <c r="A190" s="1">
        <v>45216</v>
      </c>
      <c r="B190" s="2">
        <v>3852.01</v>
      </c>
      <c r="C190" s="2">
        <v>3833.46</v>
      </c>
      <c r="D190" s="2">
        <v>3863.3</v>
      </c>
      <c r="E190" s="2">
        <v>3832.72</v>
      </c>
      <c r="F190" t="s">
        <v>193</v>
      </c>
      <c r="G190" s="3">
        <f t="shared" si="8"/>
        <v>-4.3244053619523578E-3</v>
      </c>
      <c r="H190">
        <f t="shared" si="9"/>
        <v>3872.0059999999999</v>
      </c>
      <c r="I190" s="3">
        <f t="shared" si="10"/>
        <v>6.1290967397152028E-3</v>
      </c>
      <c r="J190" s="5" t="str">
        <f t="shared" si="11"/>
        <v>低风险用户</v>
      </c>
    </row>
    <row r="191" spans="1:10" x14ac:dyDescent="0.3">
      <c r="A191" s="1">
        <v>45217</v>
      </c>
      <c r="B191" s="2">
        <v>3840.23</v>
      </c>
      <c r="C191" s="2">
        <v>3850.49</v>
      </c>
      <c r="D191" s="2">
        <v>3858.61</v>
      </c>
      <c r="E191" s="2">
        <v>3829.25</v>
      </c>
      <c r="F191" t="s">
        <v>194</v>
      </c>
      <c r="G191" s="3">
        <f t="shared" si="8"/>
        <v>-3.0581436704474286E-3</v>
      </c>
      <c r="H191">
        <f t="shared" si="9"/>
        <v>3867.9340000000002</v>
      </c>
      <c r="I191" s="3">
        <f t="shared" si="10"/>
        <v>6.4244737029850816E-3</v>
      </c>
      <c r="J191" s="5" t="str">
        <f t="shared" si="11"/>
        <v>低风险用户</v>
      </c>
    </row>
    <row r="192" spans="1:10" x14ac:dyDescent="0.3">
      <c r="A192" s="1">
        <v>45218</v>
      </c>
      <c r="B192" s="2">
        <v>3858.7</v>
      </c>
      <c r="C192" s="2">
        <v>3838.01</v>
      </c>
      <c r="D192" s="2">
        <v>3869.79</v>
      </c>
      <c r="E192" s="2">
        <v>3831.46</v>
      </c>
      <c r="F192" t="s">
        <v>195</v>
      </c>
      <c r="G192" s="3">
        <f t="shared" si="8"/>
        <v>4.8096077578686173E-3</v>
      </c>
      <c r="H192">
        <f t="shared" si="9"/>
        <v>3864.6765000000005</v>
      </c>
      <c r="I192" s="3">
        <f t="shared" si="10"/>
        <v>6.4248522789873627E-3</v>
      </c>
      <c r="J192" s="5" t="str">
        <f t="shared" si="11"/>
        <v>低风险用户</v>
      </c>
    </row>
    <row r="193" spans="1:10" x14ac:dyDescent="0.3">
      <c r="A193" s="1">
        <v>45219</v>
      </c>
      <c r="B193" s="2">
        <v>3836.24</v>
      </c>
      <c r="C193" s="2">
        <v>3843.07</v>
      </c>
      <c r="D193" s="2">
        <v>3849.74</v>
      </c>
      <c r="E193" s="2">
        <v>3833.96</v>
      </c>
      <c r="F193" t="s">
        <v>196</v>
      </c>
      <c r="G193" s="3">
        <f t="shared" si="8"/>
        <v>-5.8206131598725055E-3</v>
      </c>
      <c r="H193">
        <f t="shared" si="9"/>
        <v>3860.8224999999998</v>
      </c>
      <c r="I193" s="3">
        <f t="shared" si="10"/>
        <v>6.3185155468197234E-3</v>
      </c>
      <c r="J193" s="5" t="str">
        <f t="shared" si="11"/>
        <v>低风险用户</v>
      </c>
    </row>
    <row r="194" spans="1:10" x14ac:dyDescent="0.3">
      <c r="A194" s="1">
        <v>45222</v>
      </c>
      <c r="B194" s="2">
        <v>3839.4</v>
      </c>
      <c r="C194" s="2">
        <v>3857.63</v>
      </c>
      <c r="D194" s="2">
        <v>3865.43</v>
      </c>
      <c r="E194" s="2">
        <v>3834.85</v>
      </c>
      <c r="F194" t="s">
        <v>197</v>
      </c>
      <c r="G194" s="3">
        <f t="shared" si="8"/>
        <v>8.2372322899513834E-4</v>
      </c>
      <c r="H194">
        <f t="shared" si="9"/>
        <v>3858.3600000000006</v>
      </c>
      <c r="I194" s="3">
        <f t="shared" si="10"/>
        <v>6.2339996940922095E-3</v>
      </c>
      <c r="J194" s="5" t="str">
        <f t="shared" si="11"/>
        <v>低风险用户</v>
      </c>
    </row>
    <row r="195" spans="1:10" x14ac:dyDescent="0.3">
      <c r="A195" s="1">
        <v>45223</v>
      </c>
      <c r="B195" s="2">
        <v>3860.11</v>
      </c>
      <c r="C195" s="2">
        <v>3875.79</v>
      </c>
      <c r="D195" s="2">
        <v>3884.54</v>
      </c>
      <c r="E195" s="2">
        <v>3849.04</v>
      </c>
      <c r="F195" t="s">
        <v>198</v>
      </c>
      <c r="G195" s="3">
        <f t="shared" ref="G195:G258" si="12">IFERROR((B195-B194)/B194,"")</f>
        <v>5.3940719904151781E-3</v>
      </c>
      <c r="H195">
        <f t="shared" ref="H195:H258" si="13">AVERAGE(B195:B214)</f>
        <v>3855.6080000000002</v>
      </c>
      <c r="I195" s="3">
        <f t="shared" ref="I195:I258" si="14">IFERROR(STDEV(G195:G214),"")</f>
        <v>6.224636653318758E-3</v>
      </c>
      <c r="J195" s="5" t="str">
        <f t="shared" ref="J195:J258" si="15">IF(ROW()&lt;22,"未知",IF(I195&gt;AVERAGE(I:I),"高风险用户","低风险用户"))</f>
        <v>低风险用户</v>
      </c>
    </row>
    <row r="196" spans="1:10" x14ac:dyDescent="0.3">
      <c r="A196" s="1">
        <v>45224</v>
      </c>
      <c r="B196" s="2">
        <v>3882.27</v>
      </c>
      <c r="C196" s="2">
        <v>3910.37</v>
      </c>
      <c r="D196" s="2">
        <v>3931.55</v>
      </c>
      <c r="E196" s="2">
        <v>3882.27</v>
      </c>
      <c r="F196" t="s">
        <v>199</v>
      </c>
      <c r="G196" s="3">
        <f t="shared" si="12"/>
        <v>5.7407690454416727E-3</v>
      </c>
      <c r="H196">
        <f t="shared" si="13"/>
        <v>3851.9465000000005</v>
      </c>
      <c r="I196" s="3">
        <f t="shared" si="14"/>
        <v>6.0687085768046925E-3</v>
      </c>
      <c r="J196" s="5" t="str">
        <f t="shared" si="15"/>
        <v>低风险用户</v>
      </c>
    </row>
    <row r="197" spans="1:10" x14ac:dyDescent="0.3">
      <c r="A197" s="1">
        <v>45225</v>
      </c>
      <c r="B197" s="2">
        <v>3913.86</v>
      </c>
      <c r="C197" s="2">
        <v>3912.6</v>
      </c>
      <c r="D197" s="2">
        <v>3923.02</v>
      </c>
      <c r="E197" s="2">
        <v>3903.09</v>
      </c>
      <c r="F197" t="s">
        <v>200</v>
      </c>
      <c r="G197" s="3">
        <f t="shared" si="12"/>
        <v>8.1369920175567764E-3</v>
      </c>
      <c r="H197">
        <f t="shared" si="13"/>
        <v>3847.0304999999998</v>
      </c>
      <c r="I197" s="3">
        <f t="shared" si="14"/>
        <v>5.862604800074462E-3</v>
      </c>
      <c r="J197" s="5" t="str">
        <f t="shared" si="15"/>
        <v>低风险用户</v>
      </c>
    </row>
    <row r="198" spans="1:10" x14ac:dyDescent="0.3">
      <c r="A198" s="1">
        <v>45226</v>
      </c>
      <c r="B198" s="2">
        <v>3916.38</v>
      </c>
      <c r="C198" s="2">
        <v>3899.44</v>
      </c>
      <c r="D198" s="2">
        <v>3928.63</v>
      </c>
      <c r="E198" s="2">
        <v>3899.44</v>
      </c>
      <c r="F198" t="s">
        <v>201</v>
      </c>
      <c r="G198" s="3">
        <f t="shared" si="12"/>
        <v>6.4386564670171689E-4</v>
      </c>
      <c r="H198">
        <f t="shared" si="13"/>
        <v>3840.5815000000002</v>
      </c>
      <c r="I198" s="3">
        <f t="shared" si="14"/>
        <v>5.4473447203258812E-3</v>
      </c>
      <c r="J198" s="5" t="str">
        <f t="shared" si="15"/>
        <v>低风险用户</v>
      </c>
    </row>
    <row r="199" spans="1:10" x14ac:dyDescent="0.3">
      <c r="A199" s="1">
        <v>45229</v>
      </c>
      <c r="B199" s="2">
        <v>3898.17</v>
      </c>
      <c r="C199" s="2">
        <v>3883.1</v>
      </c>
      <c r="D199" s="2">
        <v>3911.47</v>
      </c>
      <c r="E199" s="2">
        <v>3881.74</v>
      </c>
      <c r="F199" t="s">
        <v>202</v>
      </c>
      <c r="G199" s="3">
        <f t="shared" si="12"/>
        <v>-4.6497020207436554E-3</v>
      </c>
      <c r="H199">
        <f t="shared" si="13"/>
        <v>3833.3885</v>
      </c>
      <c r="I199" s="3">
        <f t="shared" si="14"/>
        <v>5.4304409375212654E-3</v>
      </c>
      <c r="J199" s="5" t="str">
        <f t="shared" si="15"/>
        <v>低风险用户</v>
      </c>
    </row>
    <row r="200" spans="1:10" x14ac:dyDescent="0.3">
      <c r="A200" s="1">
        <v>45230</v>
      </c>
      <c r="B200" s="2">
        <v>3877.15</v>
      </c>
      <c r="C200" s="2">
        <v>3882.57</v>
      </c>
      <c r="D200" s="2">
        <v>3885.59</v>
      </c>
      <c r="E200" s="2">
        <v>3866.57</v>
      </c>
      <c r="F200" t="s">
        <v>203</v>
      </c>
      <c r="G200" s="3">
        <f t="shared" si="12"/>
        <v>-5.392273810531604E-3</v>
      </c>
      <c r="H200">
        <f t="shared" si="13"/>
        <v>3827.0910000000003</v>
      </c>
      <c r="I200" s="3">
        <f t="shared" si="14"/>
        <v>5.4027559779374519E-3</v>
      </c>
      <c r="J200" s="5" t="str">
        <f t="shared" si="15"/>
        <v>低风险用户</v>
      </c>
    </row>
    <row r="201" spans="1:10" x14ac:dyDescent="0.3">
      <c r="A201" s="1">
        <v>45231</v>
      </c>
      <c r="B201" s="2">
        <v>3889.09</v>
      </c>
      <c r="C201" s="2">
        <v>3898.67</v>
      </c>
      <c r="D201" s="2">
        <v>3903.85</v>
      </c>
      <c r="E201" s="2">
        <v>3874.86</v>
      </c>
      <c r="F201" t="s">
        <v>204</v>
      </c>
      <c r="G201" s="3">
        <f t="shared" si="12"/>
        <v>3.079581651470811E-3</v>
      </c>
      <c r="H201">
        <f t="shared" si="13"/>
        <v>3821.8745000000004</v>
      </c>
      <c r="I201" s="3">
        <f t="shared" si="14"/>
        <v>5.3413810001668154E-3</v>
      </c>
      <c r="J201" s="5" t="str">
        <f t="shared" si="15"/>
        <v>低风险用户</v>
      </c>
    </row>
    <row r="202" spans="1:10" x14ac:dyDescent="0.3">
      <c r="A202" s="1">
        <v>45232</v>
      </c>
      <c r="B202" s="2">
        <v>3907.2</v>
      </c>
      <c r="C202" s="2">
        <v>3934.03</v>
      </c>
      <c r="D202" s="2">
        <v>3936.47</v>
      </c>
      <c r="E202" s="2">
        <v>3904.91</v>
      </c>
      <c r="F202" t="s">
        <v>205</v>
      </c>
      <c r="G202" s="3">
        <f t="shared" si="12"/>
        <v>4.6566163292697449E-3</v>
      </c>
      <c r="H202">
        <f t="shared" si="13"/>
        <v>3815.4815000000003</v>
      </c>
      <c r="I202" s="3">
        <f t="shared" si="14"/>
        <v>5.2492430516017157E-3</v>
      </c>
      <c r="J202" s="5" t="str">
        <f t="shared" si="15"/>
        <v>低风险用户</v>
      </c>
    </row>
    <row r="203" spans="1:10" x14ac:dyDescent="0.3">
      <c r="A203" s="1">
        <v>45233</v>
      </c>
      <c r="B203" s="2">
        <v>3943.21</v>
      </c>
      <c r="C203" s="2">
        <v>3894.84</v>
      </c>
      <c r="D203" s="2">
        <v>3960.52</v>
      </c>
      <c r="E203" s="2">
        <v>3890.65</v>
      </c>
      <c r="F203" t="s">
        <v>206</v>
      </c>
      <c r="G203" s="3">
        <f t="shared" si="12"/>
        <v>9.2163185913186479E-3</v>
      </c>
      <c r="H203">
        <f t="shared" si="13"/>
        <v>3808.0784999999996</v>
      </c>
      <c r="I203" s="3">
        <f t="shared" si="14"/>
        <v>5.0446947971019701E-3</v>
      </c>
      <c r="J203" s="5" t="str">
        <f t="shared" si="15"/>
        <v>低风险用户</v>
      </c>
    </row>
    <row r="204" spans="1:10" x14ac:dyDescent="0.3">
      <c r="A204" s="1">
        <v>45236</v>
      </c>
      <c r="B204" s="2">
        <v>3896.26</v>
      </c>
      <c r="C204" s="2">
        <v>3915.59</v>
      </c>
      <c r="D204" s="2">
        <v>3915.59</v>
      </c>
      <c r="E204" s="2">
        <v>3890.69</v>
      </c>
      <c r="F204" t="s">
        <v>207</v>
      </c>
      <c r="G204" s="3">
        <f t="shared" si="12"/>
        <v>-1.190654314631983E-2</v>
      </c>
      <c r="H204">
        <f t="shared" si="13"/>
        <v>3798.4439999999995</v>
      </c>
      <c r="I204" s="3">
        <f t="shared" si="14"/>
        <v>4.3108472685658011E-3</v>
      </c>
      <c r="J204" s="5" t="str">
        <f t="shared" si="15"/>
        <v>低风险用户</v>
      </c>
    </row>
    <row r="205" spans="1:10" x14ac:dyDescent="0.3">
      <c r="A205" s="1">
        <v>45237</v>
      </c>
      <c r="B205" s="2">
        <v>3890.61</v>
      </c>
      <c r="C205" s="2">
        <v>3866.53</v>
      </c>
      <c r="D205" s="2">
        <v>3890.73</v>
      </c>
      <c r="E205" s="2">
        <v>3859.03</v>
      </c>
      <c r="F205" t="s">
        <v>208</v>
      </c>
      <c r="G205" s="3">
        <f t="shared" si="12"/>
        <v>-1.4501085656501596E-3</v>
      </c>
      <c r="H205">
        <f t="shared" si="13"/>
        <v>3790.3864999999996</v>
      </c>
      <c r="I205" s="3">
        <f t="shared" si="14"/>
        <v>3.7278510515554256E-3</v>
      </c>
      <c r="J205" s="5" t="str">
        <f t="shared" si="15"/>
        <v>低风险用户</v>
      </c>
    </row>
    <row r="206" spans="1:10" x14ac:dyDescent="0.3">
      <c r="A206" s="1">
        <v>45238</v>
      </c>
      <c r="B206" s="2">
        <v>3846.16</v>
      </c>
      <c r="C206" s="2">
        <v>3848.62</v>
      </c>
      <c r="D206" s="2">
        <v>3853.66</v>
      </c>
      <c r="E206" s="2">
        <v>3836.53</v>
      </c>
      <c r="F206" t="s">
        <v>209</v>
      </c>
      <c r="G206" s="3">
        <f t="shared" si="12"/>
        <v>-1.1424943646369147E-2</v>
      </c>
      <c r="H206">
        <f t="shared" si="13"/>
        <v>3780.1954999999994</v>
      </c>
      <c r="I206" s="3">
        <f t="shared" si="14"/>
        <v>4.4389622705042252E-3</v>
      </c>
      <c r="J206" s="5" t="str">
        <f t="shared" si="15"/>
        <v>低风险用户</v>
      </c>
    </row>
    <row r="207" spans="1:10" x14ac:dyDescent="0.3">
      <c r="A207" s="1">
        <v>45239</v>
      </c>
      <c r="B207" s="2">
        <v>3852.9</v>
      </c>
      <c r="C207" s="2">
        <v>3820.55</v>
      </c>
      <c r="D207" s="2">
        <v>3867.33</v>
      </c>
      <c r="E207" s="2">
        <v>3816.26</v>
      </c>
      <c r="F207" t="s">
        <v>210</v>
      </c>
      <c r="G207" s="3">
        <f t="shared" si="12"/>
        <v>1.7523971961645477E-3</v>
      </c>
      <c r="H207">
        <f t="shared" si="13"/>
        <v>3770.4254999999989</v>
      </c>
      <c r="I207" s="3">
        <f t="shared" si="14"/>
        <v>4.2801328972843656E-3</v>
      </c>
      <c r="J207" s="5" t="str">
        <f t="shared" si="15"/>
        <v>低风险用户</v>
      </c>
    </row>
    <row r="208" spans="1:10" x14ac:dyDescent="0.3">
      <c r="A208" s="1">
        <v>45240</v>
      </c>
      <c r="B208" s="2">
        <v>3831.63</v>
      </c>
      <c r="C208" s="2">
        <v>3861.58</v>
      </c>
      <c r="D208" s="2">
        <v>3863.68</v>
      </c>
      <c r="E208" s="2">
        <v>3814.99</v>
      </c>
      <c r="F208" t="s">
        <v>211</v>
      </c>
      <c r="G208" s="3">
        <f t="shared" si="12"/>
        <v>-5.520517013158914E-3</v>
      </c>
      <c r="H208">
        <f t="shared" si="13"/>
        <v>3757.2524999999996</v>
      </c>
      <c r="I208" s="3">
        <f t="shared" si="14"/>
        <v>5.1994765533250661E-3</v>
      </c>
      <c r="J208" s="5" t="str">
        <f t="shared" si="15"/>
        <v>低风险用户</v>
      </c>
    </row>
    <row r="209" spans="1:10" x14ac:dyDescent="0.3">
      <c r="A209" s="1">
        <v>45243</v>
      </c>
      <c r="B209" s="2">
        <v>3808.54</v>
      </c>
      <c r="C209" s="2">
        <v>3794.38</v>
      </c>
      <c r="D209" s="2">
        <v>3809.09</v>
      </c>
      <c r="E209" s="2">
        <v>3782.78</v>
      </c>
      <c r="F209" t="s">
        <v>212</v>
      </c>
      <c r="G209" s="3">
        <f t="shared" si="12"/>
        <v>-6.0261559701746108E-3</v>
      </c>
      <c r="H209">
        <f t="shared" si="13"/>
        <v>3758.7460000000001</v>
      </c>
      <c r="I209" s="3">
        <f t="shared" si="14"/>
        <v>1.8453667073390752E-2</v>
      </c>
      <c r="J209" s="5" t="str">
        <f t="shared" si="15"/>
        <v>高风险用户</v>
      </c>
    </row>
    <row r="210" spans="1:10" x14ac:dyDescent="0.3">
      <c r="A210" s="1">
        <v>45244</v>
      </c>
      <c r="B210" s="2">
        <v>3770.57</v>
      </c>
      <c r="C210" s="2">
        <v>3775.83</v>
      </c>
      <c r="D210" s="2">
        <v>3787.56</v>
      </c>
      <c r="E210" s="2">
        <v>3768.76</v>
      </c>
      <c r="F210" t="s">
        <v>213</v>
      </c>
      <c r="G210" s="3">
        <f t="shared" si="12"/>
        <v>-9.9696996749410009E-3</v>
      </c>
      <c r="H210">
        <f t="shared" si="13"/>
        <v>3762.5385000000001</v>
      </c>
      <c r="I210" s="3">
        <f t="shared" si="14"/>
        <v>1.8423247115749601E-2</v>
      </c>
      <c r="J210" s="5" t="str">
        <f t="shared" si="15"/>
        <v>高风险用户</v>
      </c>
    </row>
    <row r="211" spans="1:10" x14ac:dyDescent="0.3">
      <c r="A211" s="1">
        <v>45245</v>
      </c>
      <c r="B211" s="2">
        <v>3775.08</v>
      </c>
      <c r="C211" s="2">
        <v>3776</v>
      </c>
      <c r="D211" s="2">
        <v>3785.32</v>
      </c>
      <c r="E211" s="2">
        <v>3768.03</v>
      </c>
      <c r="F211" t="s">
        <v>214</v>
      </c>
      <c r="G211" s="3">
        <f t="shared" si="12"/>
        <v>1.1961056285919008E-3</v>
      </c>
      <c r="H211">
        <f t="shared" si="13"/>
        <v>3768.3939999999993</v>
      </c>
      <c r="I211" s="3">
        <f t="shared" si="14"/>
        <v>1.8237742910232571E-2</v>
      </c>
      <c r="J211" s="5" t="str">
        <f t="shared" si="15"/>
        <v>高风险用户</v>
      </c>
    </row>
    <row r="212" spans="1:10" x14ac:dyDescent="0.3">
      <c r="A212" s="1">
        <v>45246</v>
      </c>
      <c r="B212" s="2">
        <v>3781.62</v>
      </c>
      <c r="C212" s="2">
        <v>3786.39</v>
      </c>
      <c r="D212" s="2">
        <v>3792.01</v>
      </c>
      <c r="E212" s="2">
        <v>3772.8</v>
      </c>
      <c r="F212" t="s">
        <v>215</v>
      </c>
      <c r="G212" s="3">
        <f t="shared" si="12"/>
        <v>1.7324136177246478E-3</v>
      </c>
      <c r="H212">
        <f t="shared" si="13"/>
        <v>3774.0055000000002</v>
      </c>
      <c r="I212" s="3">
        <f t="shared" si="14"/>
        <v>1.8241838714253292E-2</v>
      </c>
      <c r="J212" s="5" t="str">
        <f t="shared" si="15"/>
        <v>高风险用户</v>
      </c>
    </row>
    <row r="213" spans="1:10" x14ac:dyDescent="0.3">
      <c r="A213" s="1">
        <v>45247</v>
      </c>
      <c r="B213" s="2">
        <v>3786.99</v>
      </c>
      <c r="C213" s="2">
        <v>3792.08</v>
      </c>
      <c r="D213" s="2">
        <v>3801.58</v>
      </c>
      <c r="E213" s="2">
        <v>3780.78</v>
      </c>
      <c r="F213" t="s">
        <v>216</v>
      </c>
      <c r="G213" s="3">
        <f t="shared" si="12"/>
        <v>1.420026337918641E-3</v>
      </c>
      <c r="H213">
        <f t="shared" si="13"/>
        <v>3780.683</v>
      </c>
      <c r="I213" s="3">
        <f t="shared" si="14"/>
        <v>1.8284068101160206E-2</v>
      </c>
      <c r="J213" s="5" t="str">
        <f t="shared" si="15"/>
        <v>高风险用户</v>
      </c>
    </row>
    <row r="214" spans="1:10" x14ac:dyDescent="0.3">
      <c r="A214" s="1">
        <v>45250</v>
      </c>
      <c r="B214" s="2">
        <v>3784.36</v>
      </c>
      <c r="C214" s="2">
        <v>3787.46</v>
      </c>
      <c r="D214" s="2">
        <v>3807.26</v>
      </c>
      <c r="E214" s="2">
        <v>3775.21</v>
      </c>
      <c r="F214" t="s">
        <v>217</v>
      </c>
      <c r="G214" s="3">
        <f t="shared" si="12"/>
        <v>-6.944829534801134E-4</v>
      </c>
      <c r="H214">
        <f t="shared" si="13"/>
        <v>3787.9540000000002</v>
      </c>
      <c r="I214" s="3">
        <f t="shared" si="14"/>
        <v>1.8292207223139612E-2</v>
      </c>
      <c r="J214" s="5" t="str">
        <f t="shared" si="15"/>
        <v>高风险用户</v>
      </c>
    </row>
    <row r="215" spans="1:10" x14ac:dyDescent="0.3">
      <c r="A215" s="1">
        <v>45251</v>
      </c>
      <c r="B215" s="2">
        <v>3786.88</v>
      </c>
      <c r="C215" s="2">
        <v>3803.43</v>
      </c>
      <c r="D215" s="2">
        <v>3807.95</v>
      </c>
      <c r="E215" s="2">
        <v>3780.52</v>
      </c>
      <c r="F215" t="s">
        <v>218</v>
      </c>
      <c r="G215" s="3">
        <f t="shared" si="12"/>
        <v>6.6589859315709435E-4</v>
      </c>
      <c r="H215">
        <f t="shared" si="13"/>
        <v>3794.7040000000002</v>
      </c>
      <c r="I215" s="3">
        <f t="shared" si="14"/>
        <v>1.8322226756467899E-2</v>
      </c>
      <c r="J215" s="5" t="str">
        <f t="shared" si="15"/>
        <v>高风险用户</v>
      </c>
    </row>
    <row r="216" spans="1:10" x14ac:dyDescent="0.3">
      <c r="A216" s="1">
        <v>45252</v>
      </c>
      <c r="B216" s="2">
        <v>3783.95</v>
      </c>
      <c r="C216" s="2">
        <v>3780.11</v>
      </c>
      <c r="D216" s="2">
        <v>3799.23</v>
      </c>
      <c r="E216" s="2">
        <v>3778.08</v>
      </c>
      <c r="F216" t="s">
        <v>219</v>
      </c>
      <c r="G216" s="3">
        <f t="shared" si="12"/>
        <v>-7.7372401554849667E-4</v>
      </c>
      <c r="H216">
        <f t="shared" si="13"/>
        <v>3801.9749999999999</v>
      </c>
      <c r="I216" s="3">
        <f t="shared" si="14"/>
        <v>1.832230794806293E-2</v>
      </c>
      <c r="J216" s="5" t="str">
        <f t="shared" si="15"/>
        <v>高风险用户</v>
      </c>
    </row>
    <row r="217" spans="1:10" x14ac:dyDescent="0.3">
      <c r="A217" s="1">
        <v>45253</v>
      </c>
      <c r="B217" s="2">
        <v>3784.88</v>
      </c>
      <c r="C217" s="2">
        <v>3768.14</v>
      </c>
      <c r="D217" s="2">
        <v>3790.18</v>
      </c>
      <c r="E217" s="2">
        <v>3763.14</v>
      </c>
      <c r="F217" t="s">
        <v>220</v>
      </c>
      <c r="G217" s="3">
        <f t="shared" si="12"/>
        <v>2.4577491774476173E-4</v>
      </c>
      <c r="H217">
        <f t="shared" si="13"/>
        <v>3809.5200000000004</v>
      </c>
      <c r="I217" s="3">
        <f t="shared" si="14"/>
        <v>1.8313575215106549E-2</v>
      </c>
      <c r="J217" s="5" t="str">
        <f t="shared" si="15"/>
        <v>高风险用户</v>
      </c>
    </row>
    <row r="218" spans="1:10" x14ac:dyDescent="0.3">
      <c r="A218" s="1">
        <v>45254</v>
      </c>
      <c r="B218" s="2">
        <v>3772.52</v>
      </c>
      <c r="C218" s="2">
        <v>3760.04</v>
      </c>
      <c r="D218" s="2">
        <v>3782.04</v>
      </c>
      <c r="E218" s="2">
        <v>3754.41</v>
      </c>
      <c r="F218" t="s">
        <v>221</v>
      </c>
      <c r="G218" s="3">
        <f t="shared" si="12"/>
        <v>-3.2656253302614951E-3</v>
      </c>
      <c r="H218">
        <f t="shared" si="13"/>
        <v>3816.011</v>
      </c>
      <c r="I218" s="3">
        <f t="shared" si="14"/>
        <v>1.8381518736973985E-2</v>
      </c>
      <c r="J218" s="5" t="str">
        <f t="shared" si="15"/>
        <v>高风险用户</v>
      </c>
    </row>
    <row r="219" spans="1:10" x14ac:dyDescent="0.3">
      <c r="A219" s="1">
        <v>45257</v>
      </c>
      <c r="B219" s="2">
        <v>3772.22</v>
      </c>
      <c r="C219" s="2">
        <v>3755.09</v>
      </c>
      <c r="D219" s="2">
        <v>3779.13</v>
      </c>
      <c r="E219" s="2">
        <v>3749.5</v>
      </c>
      <c r="F219" t="s">
        <v>222</v>
      </c>
      <c r="G219" s="3">
        <f t="shared" si="12"/>
        <v>-7.9522441232964149E-5</v>
      </c>
      <c r="H219">
        <f t="shared" si="13"/>
        <v>3826.134500000001</v>
      </c>
      <c r="I219" s="3">
        <f t="shared" si="14"/>
        <v>1.8581359102881657E-2</v>
      </c>
      <c r="J219" s="5" t="str">
        <f t="shared" si="15"/>
        <v>高风险用户</v>
      </c>
    </row>
    <row r="220" spans="1:10" x14ac:dyDescent="0.3">
      <c r="A220" s="1">
        <v>45258</v>
      </c>
      <c r="B220" s="2">
        <v>3772.82</v>
      </c>
      <c r="C220" s="2">
        <v>3757.88</v>
      </c>
      <c r="D220" s="2">
        <v>3775.17</v>
      </c>
      <c r="E220" s="2">
        <v>3721.6</v>
      </c>
      <c r="F220" t="s">
        <v>223</v>
      </c>
      <c r="G220" s="3">
        <f t="shared" si="12"/>
        <v>1.5905753110909859E-4</v>
      </c>
      <c r="H220">
        <f t="shared" si="13"/>
        <v>3838.0320000000002</v>
      </c>
      <c r="I220" s="3">
        <f t="shared" si="14"/>
        <v>1.8616412559438657E-2</v>
      </c>
      <c r="J220" s="5" t="str">
        <f t="shared" si="15"/>
        <v>高风险用户</v>
      </c>
    </row>
    <row r="221" spans="1:10" x14ac:dyDescent="0.3">
      <c r="A221" s="1">
        <v>45259</v>
      </c>
      <c r="B221" s="2">
        <v>3761.23</v>
      </c>
      <c r="C221" s="2">
        <v>3756.48</v>
      </c>
      <c r="D221" s="2">
        <v>3764.49</v>
      </c>
      <c r="E221" s="2">
        <v>3737.85</v>
      </c>
      <c r="F221" t="s">
        <v>224</v>
      </c>
      <c r="G221" s="3">
        <f t="shared" si="12"/>
        <v>-3.0719726888640713E-3</v>
      </c>
      <c r="H221">
        <f t="shared" si="13"/>
        <v>3849.7769999999996</v>
      </c>
      <c r="I221" s="3">
        <f t="shared" si="14"/>
        <v>1.862387397159149E-2</v>
      </c>
      <c r="J221" s="5" t="str">
        <f t="shared" si="15"/>
        <v>高风险用户</v>
      </c>
    </row>
    <row r="222" spans="1:10" x14ac:dyDescent="0.3">
      <c r="A222" s="1">
        <v>45260</v>
      </c>
      <c r="B222" s="2">
        <v>3759.14</v>
      </c>
      <c r="C222" s="2">
        <v>3772.04</v>
      </c>
      <c r="D222" s="2">
        <v>3776.63</v>
      </c>
      <c r="E222" s="2">
        <v>3754.03</v>
      </c>
      <c r="F222" t="s">
        <v>225</v>
      </c>
      <c r="G222" s="3">
        <f t="shared" si="12"/>
        <v>-5.556692890358062E-4</v>
      </c>
      <c r="H222">
        <f t="shared" si="13"/>
        <v>3861.5549999999989</v>
      </c>
      <c r="I222" s="3">
        <f t="shared" si="14"/>
        <v>1.8617938755689779E-2</v>
      </c>
      <c r="J222" s="5" t="str">
        <f t="shared" si="15"/>
        <v>高风险用户</v>
      </c>
    </row>
    <row r="223" spans="1:10" x14ac:dyDescent="0.3">
      <c r="A223" s="1">
        <v>45261</v>
      </c>
      <c r="B223" s="2">
        <v>3750.52</v>
      </c>
      <c r="C223" s="2">
        <v>3730.31</v>
      </c>
      <c r="D223" s="2">
        <v>3762.37</v>
      </c>
      <c r="E223" s="2">
        <v>3708.46</v>
      </c>
      <c r="F223" t="s">
        <v>226</v>
      </c>
      <c r="G223" s="3">
        <f t="shared" si="12"/>
        <v>-2.2930776720206992E-3</v>
      </c>
      <c r="H223">
        <f t="shared" si="13"/>
        <v>3873.9259999999995</v>
      </c>
      <c r="I223" s="3">
        <f t="shared" si="14"/>
        <v>1.859816006235554E-2</v>
      </c>
      <c r="J223" s="5" t="str">
        <f t="shared" si="15"/>
        <v>高风险用户</v>
      </c>
    </row>
    <row r="224" spans="1:10" x14ac:dyDescent="0.3">
      <c r="A224" s="1">
        <v>45264</v>
      </c>
      <c r="B224" s="2">
        <v>3735.11</v>
      </c>
      <c r="C224" s="2">
        <v>3749.13</v>
      </c>
      <c r="D224" s="2">
        <v>3756.14</v>
      </c>
      <c r="E224" s="2">
        <v>3708.82</v>
      </c>
      <c r="F224" t="s">
        <v>227</v>
      </c>
      <c r="G224" s="3">
        <f t="shared" si="12"/>
        <v>-4.1087635847828711E-3</v>
      </c>
      <c r="H224">
        <f t="shared" si="13"/>
        <v>3881.9789999999994</v>
      </c>
      <c r="I224" s="3">
        <f t="shared" si="14"/>
        <v>1.9532985858172855E-2</v>
      </c>
      <c r="J224" s="5" t="str">
        <f t="shared" si="15"/>
        <v>高风险用户</v>
      </c>
    </row>
    <row r="225" spans="1:10" x14ac:dyDescent="0.3">
      <c r="A225" s="1">
        <v>45265</v>
      </c>
      <c r="B225" s="2">
        <v>3686.79</v>
      </c>
      <c r="C225" s="2">
        <v>3606.1</v>
      </c>
      <c r="D225" s="2">
        <v>3686.79</v>
      </c>
      <c r="E225" s="2">
        <v>3587.34</v>
      </c>
      <c r="F225" t="s">
        <v>228</v>
      </c>
      <c r="G225" s="3">
        <f t="shared" si="12"/>
        <v>-1.2936700659418373E-2</v>
      </c>
      <c r="H225">
        <f t="shared" si="13"/>
        <v>3891.5849999999991</v>
      </c>
      <c r="I225" s="3">
        <f t="shared" si="14"/>
        <v>1.9477486214059803E-2</v>
      </c>
      <c r="J225" s="5" t="str">
        <f t="shared" si="15"/>
        <v>高风险用户</v>
      </c>
    </row>
    <row r="226" spans="1:10" x14ac:dyDescent="0.3">
      <c r="A226" s="1">
        <v>45266</v>
      </c>
      <c r="B226" s="2">
        <v>3650.76</v>
      </c>
      <c r="C226" s="2">
        <v>3597.99</v>
      </c>
      <c r="D226" s="2">
        <v>3650.76</v>
      </c>
      <c r="E226" s="2">
        <v>3583.87</v>
      </c>
      <c r="F226" t="s">
        <v>229</v>
      </c>
      <c r="G226" s="3">
        <f t="shared" si="12"/>
        <v>-9.7727291220817414E-3</v>
      </c>
      <c r="H226">
        <f t="shared" si="13"/>
        <v>3904.3164999999995</v>
      </c>
      <c r="I226" s="3">
        <f t="shared" si="14"/>
        <v>1.9127279634096755E-2</v>
      </c>
      <c r="J226" s="5" t="str">
        <f t="shared" si="15"/>
        <v>高风险用户</v>
      </c>
    </row>
    <row r="227" spans="1:10" x14ac:dyDescent="0.3">
      <c r="A227" s="1">
        <v>45267</v>
      </c>
      <c r="B227" s="2">
        <v>3589.44</v>
      </c>
      <c r="C227" s="2">
        <v>3675.2</v>
      </c>
      <c r="D227" s="2">
        <v>3707.78</v>
      </c>
      <c r="E227" s="2">
        <v>3514.12</v>
      </c>
      <c r="F227" t="s">
        <v>230</v>
      </c>
      <c r="G227" s="3">
        <f t="shared" si="12"/>
        <v>-1.6796502646024433E-2</v>
      </c>
      <c r="H227">
        <f t="shared" si="13"/>
        <v>3918.218499999999</v>
      </c>
      <c r="I227" s="3">
        <f t="shared" si="14"/>
        <v>1.8942613864949602E-2</v>
      </c>
      <c r="J227" s="5" t="str">
        <f t="shared" si="15"/>
        <v>高风险用户</v>
      </c>
    </row>
    <row r="228" spans="1:10" x14ac:dyDescent="0.3">
      <c r="A228" s="1">
        <v>45268</v>
      </c>
      <c r="B228" s="2">
        <v>3861.5</v>
      </c>
      <c r="C228" s="2">
        <v>3843.42</v>
      </c>
      <c r="D228" s="2">
        <v>3883.7</v>
      </c>
      <c r="E228" s="2">
        <v>3843.42</v>
      </c>
      <c r="F228" t="s">
        <v>231</v>
      </c>
      <c r="G228" s="3">
        <f t="shared" si="12"/>
        <v>7.579455291076044E-2</v>
      </c>
      <c r="H228">
        <f t="shared" si="13"/>
        <v>3935.9469999999992</v>
      </c>
      <c r="I228" s="3">
        <f t="shared" si="14"/>
        <v>1.831071243182205E-2</v>
      </c>
      <c r="J228" s="5" t="str">
        <f t="shared" si="15"/>
        <v>高风险用户</v>
      </c>
    </row>
    <row r="229" spans="1:10" x14ac:dyDescent="0.3">
      <c r="A229" s="1">
        <v>45271</v>
      </c>
      <c r="B229" s="2">
        <v>3884.39</v>
      </c>
      <c r="C229" s="2">
        <v>3884.42</v>
      </c>
      <c r="D229" s="2">
        <v>3900.49</v>
      </c>
      <c r="E229" s="2">
        <v>3877.16</v>
      </c>
      <c r="F229" t="s">
        <v>232</v>
      </c>
      <c r="G229" s="3">
        <f t="shared" si="12"/>
        <v>5.9277482843454283E-3</v>
      </c>
      <c r="H229">
        <f t="shared" si="13"/>
        <v>3940.6840000000002</v>
      </c>
      <c r="I229" s="3">
        <f t="shared" si="14"/>
        <v>7.5380980044887592E-3</v>
      </c>
      <c r="J229" s="5" t="str">
        <f t="shared" si="15"/>
        <v>低风险用户</v>
      </c>
    </row>
    <row r="230" spans="1:10" x14ac:dyDescent="0.3">
      <c r="A230" s="1">
        <v>45272</v>
      </c>
      <c r="B230" s="2">
        <v>3887.68</v>
      </c>
      <c r="C230" s="2">
        <v>3892.78</v>
      </c>
      <c r="D230" s="2">
        <v>3905.26</v>
      </c>
      <c r="E230" s="2">
        <v>3882.4</v>
      </c>
      <c r="F230" t="s">
        <v>233</v>
      </c>
      <c r="G230" s="3">
        <f t="shared" si="12"/>
        <v>8.469798346715865E-4</v>
      </c>
      <c r="H230">
        <f t="shared" si="13"/>
        <v>3941.5929999999998</v>
      </c>
      <c r="I230" s="3">
        <f t="shared" si="14"/>
        <v>8.1365595030632801E-3</v>
      </c>
      <c r="J230" s="5" t="str">
        <f t="shared" si="15"/>
        <v>低风险用户</v>
      </c>
    </row>
    <row r="231" spans="1:10" x14ac:dyDescent="0.3">
      <c r="A231" s="1">
        <v>45273</v>
      </c>
      <c r="B231" s="2">
        <v>3887.31</v>
      </c>
      <c r="C231" s="2">
        <v>3905.98</v>
      </c>
      <c r="D231" s="2">
        <v>3928.45</v>
      </c>
      <c r="E231" s="2">
        <v>3872.4</v>
      </c>
      <c r="F231" t="s">
        <v>234</v>
      </c>
      <c r="G231" s="3">
        <f t="shared" si="12"/>
        <v>-9.5172442176282734E-5</v>
      </c>
      <c r="H231">
        <f t="shared" si="13"/>
        <v>3941.4700000000003</v>
      </c>
      <c r="I231" s="3">
        <f t="shared" si="14"/>
        <v>8.202445166266956E-3</v>
      </c>
      <c r="J231" s="5" t="str">
        <f t="shared" si="15"/>
        <v>低风险用户</v>
      </c>
    </row>
    <row r="232" spans="1:10" x14ac:dyDescent="0.3">
      <c r="A232" s="1">
        <v>45274</v>
      </c>
      <c r="B232" s="2">
        <v>3915.17</v>
      </c>
      <c r="C232" s="2">
        <v>3930.78</v>
      </c>
      <c r="D232" s="2">
        <v>3934.23</v>
      </c>
      <c r="E232" s="2">
        <v>3907.38</v>
      </c>
      <c r="F232" t="s">
        <v>235</v>
      </c>
      <c r="G232" s="3">
        <f t="shared" si="12"/>
        <v>7.1669097653647706E-3</v>
      </c>
      <c r="H232">
        <f t="shared" si="13"/>
        <v>3941.5280000000007</v>
      </c>
      <c r="I232" s="3">
        <f t="shared" si="14"/>
        <v>8.2045185743985713E-3</v>
      </c>
      <c r="J232" s="5" t="str">
        <f t="shared" si="15"/>
        <v>低风险用户</v>
      </c>
    </row>
    <row r="233" spans="1:10" x14ac:dyDescent="0.3">
      <c r="A233" s="1">
        <v>45275</v>
      </c>
      <c r="B233" s="2">
        <v>3932.41</v>
      </c>
      <c r="C233" s="2">
        <v>3911.38</v>
      </c>
      <c r="D233" s="2">
        <v>3952.99</v>
      </c>
      <c r="E233" s="2">
        <v>3903.65</v>
      </c>
      <c r="F233" t="s">
        <v>236</v>
      </c>
      <c r="G233" s="3">
        <f t="shared" si="12"/>
        <v>4.4033847827807688E-3</v>
      </c>
      <c r="H233">
        <f t="shared" si="13"/>
        <v>3940.2720000000008</v>
      </c>
      <c r="I233" s="3">
        <f t="shared" si="14"/>
        <v>8.0332212643737539E-3</v>
      </c>
      <c r="J233" s="5" t="str">
        <f t="shared" si="15"/>
        <v>低风险用户</v>
      </c>
    </row>
    <row r="234" spans="1:10" x14ac:dyDescent="0.3">
      <c r="A234" s="1">
        <v>45278</v>
      </c>
      <c r="B234" s="2">
        <v>3919.36</v>
      </c>
      <c r="C234" s="2">
        <v>3930.21</v>
      </c>
      <c r="D234" s="2">
        <v>3942.03</v>
      </c>
      <c r="E234" s="2">
        <v>3916.86</v>
      </c>
      <c r="F234" t="s">
        <v>237</v>
      </c>
      <c r="G234" s="3">
        <f t="shared" si="12"/>
        <v>-3.3185756317372114E-3</v>
      </c>
      <c r="H234">
        <f t="shared" si="13"/>
        <v>3942.0574999999999</v>
      </c>
      <c r="I234" s="3">
        <f t="shared" si="14"/>
        <v>9.1948103491795961E-3</v>
      </c>
      <c r="J234" s="5" t="str">
        <f t="shared" si="15"/>
        <v>低风险用户</v>
      </c>
    </row>
    <row r="235" spans="1:10" x14ac:dyDescent="0.3">
      <c r="A235" s="1">
        <v>45279</v>
      </c>
      <c r="B235" s="2">
        <v>3932.3</v>
      </c>
      <c r="C235" s="2">
        <v>3937.9</v>
      </c>
      <c r="D235" s="2">
        <v>3946.36</v>
      </c>
      <c r="E235" s="2">
        <v>3921.53</v>
      </c>
      <c r="F235" t="s">
        <v>238</v>
      </c>
      <c r="G235" s="3">
        <f t="shared" si="12"/>
        <v>3.3015594382756505E-3</v>
      </c>
      <c r="H235">
        <f t="shared" si="13"/>
        <v>3944.0865000000003</v>
      </c>
      <c r="I235" s="3">
        <f t="shared" si="14"/>
        <v>9.171654971486096E-3</v>
      </c>
      <c r="J235" s="5" t="str">
        <f t="shared" si="15"/>
        <v>低风险用户</v>
      </c>
    </row>
    <row r="236" spans="1:10" x14ac:dyDescent="0.3">
      <c r="A236" s="1">
        <v>45280</v>
      </c>
      <c r="B236" s="2">
        <v>3934.85</v>
      </c>
      <c r="C236" s="2">
        <v>3916.11</v>
      </c>
      <c r="D236" s="2">
        <v>3938.18</v>
      </c>
      <c r="E236" s="2">
        <v>3907.2</v>
      </c>
      <c r="F236" t="s">
        <v>239</v>
      </c>
      <c r="G236" s="3">
        <f t="shared" si="12"/>
        <v>6.4847544693938082E-4</v>
      </c>
      <c r="H236">
        <f t="shared" si="13"/>
        <v>3943.7539999999999</v>
      </c>
      <c r="I236" s="3">
        <f t="shared" si="14"/>
        <v>9.3709402805961448E-3</v>
      </c>
      <c r="J236" s="5" t="str">
        <f t="shared" si="15"/>
        <v>低风险用户</v>
      </c>
    </row>
    <row r="237" spans="1:10" x14ac:dyDescent="0.3">
      <c r="A237" s="1">
        <v>45281</v>
      </c>
      <c r="B237" s="2">
        <v>3914.7</v>
      </c>
      <c r="C237" s="2">
        <v>3966.51</v>
      </c>
      <c r="D237" s="2">
        <v>3983.15</v>
      </c>
      <c r="E237" s="2">
        <v>3904.77</v>
      </c>
      <c r="F237" t="s">
        <v>240</v>
      </c>
      <c r="G237" s="3">
        <f t="shared" si="12"/>
        <v>-5.1209067690001124E-3</v>
      </c>
      <c r="H237">
        <f t="shared" si="13"/>
        <v>3945.4975000000004</v>
      </c>
      <c r="I237" s="3">
        <f t="shared" si="14"/>
        <v>9.7045678445751259E-3</v>
      </c>
      <c r="J237" s="5" t="str">
        <f t="shared" si="15"/>
        <v>高风险用户</v>
      </c>
    </row>
    <row r="238" spans="1:10" x14ac:dyDescent="0.3">
      <c r="A238" s="1">
        <v>45282</v>
      </c>
      <c r="B238" s="2">
        <v>3974.99</v>
      </c>
      <c r="C238" s="2">
        <v>4011.06</v>
      </c>
      <c r="D238" s="2">
        <v>4012.04</v>
      </c>
      <c r="E238" s="2">
        <v>3969.93</v>
      </c>
      <c r="F238" t="s">
        <v>241</v>
      </c>
      <c r="G238" s="3">
        <f t="shared" si="12"/>
        <v>1.5400924719646452E-2</v>
      </c>
      <c r="H238">
        <f t="shared" si="13"/>
        <v>3948.6845000000003</v>
      </c>
      <c r="I238" s="3">
        <f t="shared" si="14"/>
        <v>9.6196207628257493E-3</v>
      </c>
      <c r="J238" s="5" t="str">
        <f t="shared" si="15"/>
        <v>高风险用户</v>
      </c>
    </row>
    <row r="239" spans="1:10" x14ac:dyDescent="0.3">
      <c r="A239" s="1">
        <v>45285</v>
      </c>
      <c r="B239" s="2">
        <v>4010.17</v>
      </c>
      <c r="C239" s="2">
        <v>4004.83</v>
      </c>
      <c r="D239" s="2">
        <v>4025.3</v>
      </c>
      <c r="E239" s="2">
        <v>3989.51</v>
      </c>
      <c r="F239" t="s">
        <v>242</v>
      </c>
      <c r="G239" s="3">
        <f t="shared" si="12"/>
        <v>8.8503367304069418E-3</v>
      </c>
      <c r="H239">
        <f t="shared" si="13"/>
        <v>3946.38</v>
      </c>
      <c r="I239" s="3">
        <f t="shared" si="14"/>
        <v>9.4165010711051746E-3</v>
      </c>
      <c r="J239" s="5" t="str">
        <f t="shared" si="15"/>
        <v>低风险用户</v>
      </c>
    </row>
    <row r="240" spans="1:10" x14ac:dyDescent="0.3">
      <c r="A240" s="1">
        <v>45286</v>
      </c>
      <c r="B240" s="2">
        <v>4007.72</v>
      </c>
      <c r="C240" s="2">
        <v>4011.78</v>
      </c>
      <c r="D240" s="2">
        <v>4016.87</v>
      </c>
      <c r="E240" s="2">
        <v>3995.96</v>
      </c>
      <c r="F240" t="s">
        <v>243</v>
      </c>
      <c r="G240" s="3">
        <f t="shared" si="12"/>
        <v>-6.1094666809643301E-4</v>
      </c>
      <c r="H240">
        <f t="shared" si="13"/>
        <v>3942.8795000000005</v>
      </c>
      <c r="I240" s="3">
        <f t="shared" si="14"/>
        <v>9.1948555106797798E-3</v>
      </c>
      <c r="J240" s="5" t="str">
        <f t="shared" si="15"/>
        <v>低风险用户</v>
      </c>
    </row>
    <row r="241" spans="1:10" x14ac:dyDescent="0.3">
      <c r="A241" s="1">
        <v>45287</v>
      </c>
      <c r="B241" s="2">
        <v>3996.79</v>
      </c>
      <c r="C241" s="2">
        <v>4020.64</v>
      </c>
      <c r="D241" s="2">
        <v>4021.73</v>
      </c>
      <c r="E241" s="2">
        <v>3992.26</v>
      </c>
      <c r="F241" t="s">
        <v>244</v>
      </c>
      <c r="G241" s="3">
        <f t="shared" si="12"/>
        <v>-2.7272364336829512E-3</v>
      </c>
      <c r="H241">
        <f t="shared" si="13"/>
        <v>3938.1325000000006</v>
      </c>
      <c r="I241" s="3">
        <f t="shared" si="14"/>
        <v>9.295219463890116E-3</v>
      </c>
      <c r="J241" s="5" t="str">
        <f t="shared" si="15"/>
        <v>低风险用户</v>
      </c>
    </row>
    <row r="242" spans="1:10" x14ac:dyDescent="0.3">
      <c r="A242" s="1">
        <v>45288</v>
      </c>
      <c r="B242" s="2">
        <v>4006.56</v>
      </c>
      <c r="C242" s="2">
        <v>3919.62</v>
      </c>
      <c r="D242" s="2">
        <v>4014.16</v>
      </c>
      <c r="E242" s="2">
        <v>3919.62</v>
      </c>
      <c r="F242" t="s">
        <v>245</v>
      </c>
      <c r="G242" s="3">
        <f t="shared" si="12"/>
        <v>2.4444616804985956E-3</v>
      </c>
      <c r="H242">
        <f t="shared" si="13"/>
        <v>3935.6630000000005</v>
      </c>
      <c r="I242" s="3">
        <f t="shared" si="14"/>
        <v>9.549183659785819E-3</v>
      </c>
      <c r="J242" s="5" t="str">
        <f t="shared" si="15"/>
        <v>高风险用户</v>
      </c>
    </row>
    <row r="243" spans="1:10" x14ac:dyDescent="0.3">
      <c r="A243" s="1">
        <v>45289</v>
      </c>
      <c r="B243" s="2">
        <v>3911.58</v>
      </c>
      <c r="C243" s="2">
        <v>3925.74</v>
      </c>
      <c r="D243" s="2">
        <v>3939.29</v>
      </c>
      <c r="E243" s="2">
        <v>3897.38</v>
      </c>
      <c r="F243" t="s">
        <v>246</v>
      </c>
      <c r="G243" s="3">
        <f t="shared" si="12"/>
        <v>-2.3706121959985629E-2</v>
      </c>
      <c r="H243">
        <f t="shared" si="13"/>
        <v>3932.2855000000004</v>
      </c>
      <c r="I243" s="3">
        <f t="shared" si="14"/>
        <v>9.5277034984813849E-3</v>
      </c>
      <c r="J243" s="5" t="str">
        <f t="shared" si="15"/>
        <v>高风险用户</v>
      </c>
    </row>
    <row r="244" spans="1:10" x14ac:dyDescent="0.3">
      <c r="A244" s="1">
        <v>45293</v>
      </c>
      <c r="B244" s="2">
        <v>3927.23</v>
      </c>
      <c r="C244" s="2">
        <v>3946.86</v>
      </c>
      <c r="D244" s="2">
        <v>3953.61</v>
      </c>
      <c r="E244" s="2">
        <v>3921.47</v>
      </c>
      <c r="F244" t="s">
        <v>247</v>
      </c>
      <c r="G244" s="3">
        <f t="shared" si="12"/>
        <v>4.0009407963022851E-3</v>
      </c>
      <c r="H244">
        <f t="shared" si="13"/>
        <v>3931.9635000000003</v>
      </c>
      <c r="I244" s="3">
        <f t="shared" si="14"/>
        <v>8.1100346698718372E-3</v>
      </c>
      <c r="J244" s="5" t="str">
        <f t="shared" si="15"/>
        <v>低风险用户</v>
      </c>
    </row>
    <row r="245" spans="1:10" x14ac:dyDescent="0.3">
      <c r="A245" s="1">
        <v>45294</v>
      </c>
      <c r="B245" s="2">
        <v>3941.42</v>
      </c>
      <c r="C245" s="2">
        <v>3890.43</v>
      </c>
      <c r="D245" s="2">
        <v>3941.42</v>
      </c>
      <c r="E245" s="2">
        <v>3889.43</v>
      </c>
      <c r="F245" t="s">
        <v>248</v>
      </c>
      <c r="G245" s="3">
        <f t="shared" si="12"/>
        <v>3.6132337550894788E-3</v>
      </c>
      <c r="H245">
        <f t="shared" si="13"/>
        <v>3931.5949999999998</v>
      </c>
      <c r="I245" s="3">
        <f t="shared" si="14"/>
        <v>8.1041086715095828E-3</v>
      </c>
      <c r="J245" s="5" t="str">
        <f t="shared" si="15"/>
        <v>低风险用户</v>
      </c>
    </row>
    <row r="246" spans="1:10" x14ac:dyDescent="0.3">
      <c r="A246" s="1">
        <v>45295</v>
      </c>
      <c r="B246" s="2">
        <v>3928.8</v>
      </c>
      <c r="C246" s="2">
        <v>3945.58</v>
      </c>
      <c r="D246" s="2">
        <v>3949.14</v>
      </c>
      <c r="E246" s="2">
        <v>3905.13</v>
      </c>
      <c r="F246" t="s">
        <v>249</v>
      </c>
      <c r="G246" s="3">
        <f t="shared" si="12"/>
        <v>-3.2018917040051277E-3</v>
      </c>
      <c r="H246">
        <f t="shared" si="13"/>
        <v>3928.6810000000005</v>
      </c>
      <c r="I246" s="3">
        <f t="shared" si="14"/>
        <v>8.3113671050041582E-3</v>
      </c>
      <c r="J246" s="5" t="str">
        <f t="shared" si="15"/>
        <v>低风险用户</v>
      </c>
    </row>
    <row r="247" spans="1:10" x14ac:dyDescent="0.3">
      <c r="A247" s="1">
        <v>45296</v>
      </c>
      <c r="B247" s="2">
        <v>3944.01</v>
      </c>
      <c r="C247" s="2">
        <v>3944.91</v>
      </c>
      <c r="D247" s="2">
        <v>3967.07</v>
      </c>
      <c r="E247" s="2">
        <v>3935.05</v>
      </c>
      <c r="F247" t="s">
        <v>250</v>
      </c>
      <c r="G247" s="3">
        <f t="shared" si="12"/>
        <v>3.871411117898604E-3</v>
      </c>
      <c r="H247">
        <f t="shared" si="13"/>
        <v>3927.2940000000003</v>
      </c>
      <c r="I247" s="3">
        <f t="shared" si="14"/>
        <v>8.3716799547038489E-3</v>
      </c>
      <c r="J247" s="5" t="str">
        <f t="shared" si="15"/>
        <v>低风险用户</v>
      </c>
    </row>
    <row r="248" spans="1:10" x14ac:dyDescent="0.3">
      <c r="A248" s="1">
        <v>45299</v>
      </c>
      <c r="B248" s="2">
        <v>3956.24</v>
      </c>
      <c r="C248" s="2">
        <v>3923.38</v>
      </c>
      <c r="D248" s="2">
        <v>3964.49</v>
      </c>
      <c r="E248" s="2">
        <v>3917.08</v>
      </c>
      <c r="F248" t="s">
        <v>251</v>
      </c>
      <c r="G248" s="3">
        <f t="shared" si="12"/>
        <v>3.1009049165695731E-3</v>
      </c>
      <c r="H248">
        <f t="shared" si="13"/>
        <v>3924.7284999999997</v>
      </c>
      <c r="I248" s="3">
        <f t="shared" si="14"/>
        <v>8.3210267201632611E-3</v>
      </c>
      <c r="J248" s="5" t="str">
        <f t="shared" si="15"/>
        <v>低风险用户</v>
      </c>
    </row>
    <row r="249" spans="1:10" x14ac:dyDescent="0.3">
      <c r="A249" s="1">
        <v>45300</v>
      </c>
      <c r="B249" s="2">
        <v>3902.57</v>
      </c>
      <c r="C249" s="2">
        <v>3887.8</v>
      </c>
      <c r="D249" s="2">
        <v>3906.42</v>
      </c>
      <c r="E249" s="2">
        <v>3877.02</v>
      </c>
      <c r="F249" t="s">
        <v>252</v>
      </c>
      <c r="G249" s="3">
        <f t="shared" si="12"/>
        <v>-1.3565911067073692E-2</v>
      </c>
      <c r="H249">
        <f t="shared" si="13"/>
        <v>3919.058</v>
      </c>
      <c r="I249" s="3">
        <f t="shared" si="14"/>
        <v>8.6985026850134733E-3</v>
      </c>
      <c r="J249" s="5" t="str">
        <f t="shared" si="15"/>
        <v>低风险用户</v>
      </c>
    </row>
    <row r="250" spans="1:10" x14ac:dyDescent="0.3">
      <c r="A250" s="1">
        <v>45301</v>
      </c>
      <c r="B250" s="2">
        <v>3885.22</v>
      </c>
      <c r="C250" s="2">
        <v>3865.99</v>
      </c>
      <c r="D250" s="2">
        <v>3890.42</v>
      </c>
      <c r="E250" s="2">
        <v>3855.73</v>
      </c>
      <c r="F250" t="s">
        <v>253</v>
      </c>
      <c r="G250" s="3">
        <f t="shared" si="12"/>
        <v>-4.4457882882306694E-3</v>
      </c>
      <c r="H250">
        <f t="shared" si="13"/>
        <v>3913.6835000000001</v>
      </c>
      <c r="I250" s="3">
        <f t="shared" si="14"/>
        <v>8.6180564642828836E-3</v>
      </c>
      <c r="J250" s="5" t="str">
        <f t="shared" si="15"/>
        <v>低风险用户</v>
      </c>
    </row>
    <row r="251" spans="1:10" x14ac:dyDescent="0.3">
      <c r="A251" s="1">
        <v>45302</v>
      </c>
      <c r="B251" s="2">
        <v>3888.47</v>
      </c>
      <c r="C251" s="2">
        <v>3899.7</v>
      </c>
      <c r="D251" s="2">
        <v>3930</v>
      </c>
      <c r="E251" s="2">
        <v>3872.59</v>
      </c>
      <c r="F251" t="s">
        <v>254</v>
      </c>
      <c r="G251" s="3">
        <f t="shared" si="12"/>
        <v>8.3650346698513854E-4</v>
      </c>
      <c r="H251">
        <f t="shared" si="13"/>
        <v>3910.2764999999999</v>
      </c>
      <c r="I251" s="3">
        <f t="shared" si="14"/>
        <v>8.7286824290257053E-3</v>
      </c>
      <c r="J251" s="5" t="str">
        <f t="shared" si="15"/>
        <v>低风险用户</v>
      </c>
    </row>
    <row r="252" spans="1:10" x14ac:dyDescent="0.3">
      <c r="A252" s="1">
        <v>45303</v>
      </c>
      <c r="B252" s="2">
        <v>3890.05</v>
      </c>
      <c r="C252" s="2">
        <v>3950.19</v>
      </c>
      <c r="D252" s="2">
        <v>3972.48</v>
      </c>
      <c r="E252" s="2">
        <v>3886.4</v>
      </c>
      <c r="F252" t="s">
        <v>255</v>
      </c>
      <c r="G252" s="3">
        <f t="shared" si="12"/>
        <v>4.0632948177570666E-4</v>
      </c>
      <c r="H252">
        <f t="shared" si="13"/>
        <v>3907.4960000000001</v>
      </c>
      <c r="I252" s="3">
        <f t="shared" si="14"/>
        <v>8.7930857569849859E-3</v>
      </c>
      <c r="J252" s="5" t="str">
        <f t="shared" si="15"/>
        <v>低风险用户</v>
      </c>
    </row>
    <row r="253" spans="1:10" x14ac:dyDescent="0.3">
      <c r="A253" s="1">
        <v>45306</v>
      </c>
      <c r="B253" s="2">
        <v>3968.12</v>
      </c>
      <c r="C253" s="2">
        <v>3961.06</v>
      </c>
      <c r="D253" s="2">
        <v>3973.93</v>
      </c>
      <c r="E253" s="2">
        <v>3933.46</v>
      </c>
      <c r="F253" t="s">
        <v>256</v>
      </c>
      <c r="G253" s="3">
        <f t="shared" si="12"/>
        <v>2.0069150782123547E-2</v>
      </c>
      <c r="H253">
        <f t="shared" si="13"/>
        <v>3903.1804999999999</v>
      </c>
      <c r="I253" s="3">
        <f t="shared" si="14"/>
        <v>8.9220722274133326E-3</v>
      </c>
      <c r="J253" s="5" t="str">
        <f t="shared" si="15"/>
        <v>低风险用户</v>
      </c>
    </row>
    <row r="254" spans="1:10" x14ac:dyDescent="0.3">
      <c r="A254" s="1">
        <v>45307</v>
      </c>
      <c r="B254" s="2">
        <v>3959.94</v>
      </c>
      <c r="C254" s="2">
        <v>3931.84</v>
      </c>
      <c r="D254" s="2">
        <v>3960.33</v>
      </c>
      <c r="E254" s="2">
        <v>3925.37</v>
      </c>
      <c r="F254" t="s">
        <v>257</v>
      </c>
      <c r="G254" s="3">
        <f t="shared" si="12"/>
        <v>-2.0614295938630478E-3</v>
      </c>
      <c r="H254">
        <f t="shared" si="13"/>
        <v>3894.6255000000006</v>
      </c>
      <c r="I254" s="3">
        <f t="shared" si="14"/>
        <v>7.4043248778997749E-3</v>
      </c>
      <c r="J254" s="5" t="str">
        <f t="shared" si="15"/>
        <v>低风险用户</v>
      </c>
    </row>
    <row r="255" spans="1:10" x14ac:dyDescent="0.3">
      <c r="A255" s="1">
        <v>45308</v>
      </c>
      <c r="B255" s="2">
        <v>3925.65</v>
      </c>
      <c r="C255" s="2">
        <v>3933.64</v>
      </c>
      <c r="D255" s="2">
        <v>3955.43</v>
      </c>
      <c r="E255" s="2">
        <v>3915.65</v>
      </c>
      <c r="F255" t="s">
        <v>258</v>
      </c>
      <c r="G255" s="3">
        <f t="shared" si="12"/>
        <v>-8.6592221094258914E-3</v>
      </c>
      <c r="H255">
        <f t="shared" si="13"/>
        <v>3888.2590000000005</v>
      </c>
      <c r="I255" s="3">
        <f t="shared" si="14"/>
        <v>7.8420999018237354E-3</v>
      </c>
      <c r="J255" s="5" t="str">
        <f t="shared" si="15"/>
        <v>低风险用户</v>
      </c>
    </row>
    <row r="256" spans="1:10" x14ac:dyDescent="0.3">
      <c r="A256" s="1">
        <v>45309</v>
      </c>
      <c r="B256" s="2">
        <v>3969.72</v>
      </c>
      <c r="C256" s="2">
        <v>3972.48</v>
      </c>
      <c r="D256" s="2">
        <v>3995.95</v>
      </c>
      <c r="E256" s="2">
        <v>3949.23</v>
      </c>
      <c r="F256" t="s">
        <v>259</v>
      </c>
      <c r="G256" s="3">
        <f t="shared" si="12"/>
        <v>1.1226166367353102E-2</v>
      </c>
      <c r="H256">
        <f t="shared" si="13"/>
        <v>3883.4605000000001</v>
      </c>
      <c r="I256" s="3">
        <f t="shared" si="14"/>
        <v>7.6649485295596049E-3</v>
      </c>
      <c r="J256" s="5" t="str">
        <f t="shared" si="15"/>
        <v>低风险用户</v>
      </c>
    </row>
    <row r="257" spans="1:10" x14ac:dyDescent="0.3">
      <c r="A257" s="1">
        <v>45310</v>
      </c>
      <c r="B257" s="2">
        <v>3978.44</v>
      </c>
      <c r="C257" s="2">
        <v>3938.05</v>
      </c>
      <c r="D257" s="2">
        <v>3981.05</v>
      </c>
      <c r="E257" s="2">
        <v>3927.79</v>
      </c>
      <c r="F257" t="s">
        <v>260</v>
      </c>
      <c r="G257" s="3">
        <f t="shared" si="12"/>
        <v>2.1966284775753087E-3</v>
      </c>
      <c r="H257">
        <f t="shared" si="13"/>
        <v>3875.5914999999995</v>
      </c>
      <c r="I257" s="3">
        <f t="shared" si="14"/>
        <v>7.1091296875763089E-3</v>
      </c>
      <c r="J257" s="5" t="str">
        <f t="shared" si="15"/>
        <v>低风险用户</v>
      </c>
    </row>
    <row r="258" spans="1:10" x14ac:dyDescent="0.3">
      <c r="A258" s="1">
        <v>45313</v>
      </c>
      <c r="B258" s="2">
        <v>3928.9</v>
      </c>
      <c r="C258" s="2">
        <v>3934.65</v>
      </c>
      <c r="D258" s="2">
        <v>3940.68</v>
      </c>
      <c r="E258" s="2">
        <v>3916.18</v>
      </c>
      <c r="F258" t="s">
        <v>261</v>
      </c>
      <c r="G258" s="3">
        <f t="shared" si="12"/>
        <v>-1.2452116910145677E-2</v>
      </c>
      <c r="H258">
        <f t="shared" si="13"/>
        <v>3866.6884999999993</v>
      </c>
      <c r="I258" s="3">
        <f t="shared" si="14"/>
        <v>7.0432908868016744E-3</v>
      </c>
      <c r="J258" s="5" t="str">
        <f t="shared" si="15"/>
        <v>低风险用户</v>
      </c>
    </row>
    <row r="259" spans="1:10" x14ac:dyDescent="0.3">
      <c r="A259" s="1">
        <v>45314</v>
      </c>
      <c r="B259" s="2">
        <v>3940.16</v>
      </c>
      <c r="C259" s="2">
        <v>3906.22</v>
      </c>
      <c r="D259" s="2">
        <v>3943.67</v>
      </c>
      <c r="E259" s="2">
        <v>3904.15</v>
      </c>
      <c r="F259" t="s">
        <v>262</v>
      </c>
      <c r="G259" s="3">
        <f t="shared" ref="G259:G322" si="16">IFERROR((B259-B258)/B258,"")</f>
        <v>2.865942121204348E-3</v>
      </c>
      <c r="H259">
        <f t="shared" ref="H259:H322" si="17">AVERAGE(B259:B278)</f>
        <v>3860.0449999999996</v>
      </c>
      <c r="I259" s="3">
        <f t="shared" ref="I259:I322" si="18">IFERROR(STDEV(G259:G278),"")</f>
        <v>6.6237025783800604E-3</v>
      </c>
      <c r="J259" s="5" t="str">
        <f t="shared" ref="J259:J322" si="19">IF(ROW()&lt;22,"未知",IF(I259&gt;AVERAGE(I:I),"高风险用户","低风险用户"))</f>
        <v>低风险用户</v>
      </c>
    </row>
    <row r="260" spans="1:10" x14ac:dyDescent="0.3">
      <c r="A260" s="1">
        <v>45315</v>
      </c>
      <c r="B260" s="2">
        <v>3912.78</v>
      </c>
      <c r="C260" s="2">
        <v>3942.58</v>
      </c>
      <c r="D260" s="2">
        <v>3965.42</v>
      </c>
      <c r="E260" s="2">
        <v>3901.87</v>
      </c>
      <c r="F260" t="s">
        <v>263</v>
      </c>
      <c r="G260" s="3">
        <f t="shared" si="16"/>
        <v>-6.9489563875577785E-3</v>
      </c>
      <c r="H260">
        <f t="shared" si="17"/>
        <v>3854.0639999999999</v>
      </c>
      <c r="I260" s="3">
        <f t="shared" si="18"/>
        <v>6.8002309038672354E-3</v>
      </c>
      <c r="J260" s="5" t="str">
        <f t="shared" si="19"/>
        <v>低风险用户</v>
      </c>
    </row>
    <row r="261" spans="1:10" x14ac:dyDescent="0.3">
      <c r="A261" s="1">
        <v>45316</v>
      </c>
      <c r="B261" s="2">
        <v>3947.4</v>
      </c>
      <c r="C261" s="2">
        <v>3954.41</v>
      </c>
      <c r="D261" s="2">
        <v>3955.9</v>
      </c>
      <c r="E261" s="2">
        <v>3921.7</v>
      </c>
      <c r="F261" t="s">
        <v>264</v>
      </c>
      <c r="G261" s="3">
        <f t="shared" si="16"/>
        <v>8.8479290938922942E-3</v>
      </c>
      <c r="H261">
        <f t="shared" si="17"/>
        <v>3844.5504999999998</v>
      </c>
      <c r="I261" s="3">
        <f t="shared" si="18"/>
        <v>8.6279324804788005E-3</v>
      </c>
      <c r="J261" s="5" t="str">
        <f t="shared" si="19"/>
        <v>低风险用户</v>
      </c>
    </row>
    <row r="262" spans="1:10" x14ac:dyDescent="0.3">
      <c r="A262" s="1">
        <v>45317</v>
      </c>
      <c r="B262" s="2">
        <v>3939.01</v>
      </c>
      <c r="C262" s="2">
        <v>3900.83</v>
      </c>
      <c r="D262" s="2">
        <v>3942.04</v>
      </c>
      <c r="E262" s="2">
        <v>3900.83</v>
      </c>
      <c r="F262" t="s">
        <v>265</v>
      </c>
      <c r="G262" s="3">
        <f t="shared" si="16"/>
        <v>-2.1254496630693297E-3</v>
      </c>
      <c r="H262">
        <f t="shared" si="17"/>
        <v>3833.8044999999993</v>
      </c>
      <c r="I262" s="3">
        <f t="shared" si="18"/>
        <v>8.3069078081346812E-3</v>
      </c>
      <c r="J262" s="5" t="str">
        <f t="shared" si="19"/>
        <v>低风险用户</v>
      </c>
    </row>
    <row r="263" spans="1:10" x14ac:dyDescent="0.3">
      <c r="A263" s="1">
        <v>45320</v>
      </c>
      <c r="B263" s="2">
        <v>3905.14</v>
      </c>
      <c r="C263" s="2">
        <v>3913.9</v>
      </c>
      <c r="D263" s="2">
        <v>3939.2</v>
      </c>
      <c r="E263" s="2">
        <v>3904.98</v>
      </c>
      <c r="F263" t="s">
        <v>266</v>
      </c>
      <c r="G263" s="3">
        <f t="shared" si="16"/>
        <v>-8.5986072642619191E-3</v>
      </c>
      <c r="H263">
        <f t="shared" si="17"/>
        <v>3825.8479999999995</v>
      </c>
      <c r="I263" s="3">
        <f t="shared" si="18"/>
        <v>8.9992867700292387E-3</v>
      </c>
      <c r="J263" s="5" t="str">
        <f t="shared" si="19"/>
        <v>低风险用户</v>
      </c>
    </row>
    <row r="264" spans="1:10" x14ac:dyDescent="0.3">
      <c r="A264" s="1">
        <v>45321</v>
      </c>
      <c r="B264" s="2">
        <v>3919.86</v>
      </c>
      <c r="C264" s="2">
        <v>3875.96</v>
      </c>
      <c r="D264" s="2">
        <v>3920.72</v>
      </c>
      <c r="E264" s="2">
        <v>3867.35</v>
      </c>
      <c r="F264" t="s">
        <v>267</v>
      </c>
      <c r="G264" s="3">
        <f t="shared" si="16"/>
        <v>3.7693911101779336E-3</v>
      </c>
      <c r="H264">
        <f t="shared" si="17"/>
        <v>3820.0520000000006</v>
      </c>
      <c r="I264" s="3">
        <f t="shared" si="18"/>
        <v>8.9134511756412283E-3</v>
      </c>
      <c r="J264" s="5" t="str">
        <f t="shared" si="19"/>
        <v>低风险用户</v>
      </c>
    </row>
    <row r="265" spans="1:10" x14ac:dyDescent="0.3">
      <c r="A265" s="1">
        <v>45322</v>
      </c>
      <c r="B265" s="2">
        <v>3883.14</v>
      </c>
      <c r="C265" s="2">
        <v>3905.16</v>
      </c>
      <c r="D265" s="2">
        <v>3905.16</v>
      </c>
      <c r="E265" s="2">
        <v>3872.91</v>
      </c>
      <c r="F265" t="s">
        <v>268</v>
      </c>
      <c r="G265" s="3">
        <f t="shared" si="16"/>
        <v>-9.367681498829104E-3</v>
      </c>
      <c r="H265">
        <f t="shared" si="17"/>
        <v>3813.8645000000006</v>
      </c>
      <c r="I265" s="3">
        <f t="shared" si="18"/>
        <v>8.8636564349785802E-3</v>
      </c>
      <c r="J265" s="5" t="str">
        <f t="shared" si="19"/>
        <v>低风险用户</v>
      </c>
    </row>
    <row r="266" spans="1:10" x14ac:dyDescent="0.3">
      <c r="A266" s="1">
        <v>45323</v>
      </c>
      <c r="B266" s="2">
        <v>3901.06</v>
      </c>
      <c r="C266" s="2">
        <v>3898.1</v>
      </c>
      <c r="D266" s="2">
        <v>3906.37</v>
      </c>
      <c r="E266" s="2">
        <v>3878.83</v>
      </c>
      <c r="F266" t="s">
        <v>269</v>
      </c>
      <c r="G266" s="3">
        <f t="shared" si="16"/>
        <v>4.6148220254742488E-3</v>
      </c>
      <c r="H266">
        <f t="shared" si="17"/>
        <v>3808.1559999999999</v>
      </c>
      <c r="I266" s="3">
        <f t="shared" si="18"/>
        <v>8.7743106745016425E-3</v>
      </c>
      <c r="J266" s="5" t="str">
        <f t="shared" si="19"/>
        <v>低风险用户</v>
      </c>
    </row>
    <row r="267" spans="1:10" x14ac:dyDescent="0.3">
      <c r="A267" s="1">
        <v>45324</v>
      </c>
      <c r="B267" s="2">
        <v>3892.7</v>
      </c>
      <c r="C267" s="2">
        <v>3844.06</v>
      </c>
      <c r="D267" s="2">
        <v>3919.35</v>
      </c>
      <c r="E267" s="2">
        <v>3833.87</v>
      </c>
      <c r="F267" t="s">
        <v>270</v>
      </c>
      <c r="G267" s="3">
        <f t="shared" si="16"/>
        <v>-2.1430072851994402E-3</v>
      </c>
      <c r="H267">
        <f t="shared" si="17"/>
        <v>3801.8609999999999</v>
      </c>
      <c r="I267" s="3">
        <f t="shared" si="18"/>
        <v>8.6908785351673748E-3</v>
      </c>
      <c r="J267" s="5" t="str">
        <f t="shared" si="19"/>
        <v>低风险用户</v>
      </c>
    </row>
    <row r="268" spans="1:10" x14ac:dyDescent="0.3">
      <c r="A268" s="1">
        <v>45327</v>
      </c>
      <c r="B268" s="2">
        <v>3842.83</v>
      </c>
      <c r="C268" s="2">
        <v>3789.61</v>
      </c>
      <c r="D268" s="2">
        <v>3843.49</v>
      </c>
      <c r="E268" s="2">
        <v>3788.32</v>
      </c>
      <c r="F268" t="s">
        <v>271</v>
      </c>
      <c r="G268" s="3">
        <f t="shared" si="16"/>
        <v>-1.2811159349551697E-2</v>
      </c>
      <c r="H268">
        <f t="shared" si="17"/>
        <v>3798.2460000000001</v>
      </c>
      <c r="I268" s="3">
        <f t="shared" si="18"/>
        <v>9.2035931657913905E-3</v>
      </c>
      <c r="J268" s="5" t="str">
        <f t="shared" si="19"/>
        <v>低风险用户</v>
      </c>
    </row>
    <row r="269" spans="1:10" x14ac:dyDescent="0.3">
      <c r="A269" s="1">
        <v>45328</v>
      </c>
      <c r="B269" s="2">
        <v>3795.08</v>
      </c>
      <c r="C269" s="2">
        <v>3844.7</v>
      </c>
      <c r="D269" s="2">
        <v>3844.7</v>
      </c>
      <c r="E269" s="2">
        <v>3785.16</v>
      </c>
      <c r="F269" t="s">
        <v>272</v>
      </c>
      <c r="G269" s="3">
        <f t="shared" si="16"/>
        <v>-1.2425738323058788E-2</v>
      </c>
      <c r="H269">
        <f t="shared" si="17"/>
        <v>3802.85</v>
      </c>
      <c r="I269" s="3">
        <f t="shared" si="18"/>
        <v>1.1071238227771644E-2</v>
      </c>
      <c r="J269" s="5" t="str">
        <f t="shared" si="19"/>
        <v>高风险用户</v>
      </c>
    </row>
    <row r="270" spans="1:10" x14ac:dyDescent="0.3">
      <c r="A270" s="1">
        <v>45329</v>
      </c>
      <c r="B270" s="2">
        <v>3817.08</v>
      </c>
      <c r="C270" s="2">
        <v>3836.96</v>
      </c>
      <c r="D270" s="2">
        <v>3852</v>
      </c>
      <c r="E270" s="2">
        <v>3817.08</v>
      </c>
      <c r="F270" t="s">
        <v>273</v>
      </c>
      <c r="G270" s="3">
        <f t="shared" si="16"/>
        <v>5.7969792468142963E-3</v>
      </c>
      <c r="H270">
        <f t="shared" si="17"/>
        <v>3813.0485000000008</v>
      </c>
      <c r="I270" s="3">
        <f t="shared" si="18"/>
        <v>1.1068008465719393E-2</v>
      </c>
      <c r="J270" s="5" t="str">
        <f t="shared" si="19"/>
        <v>高风险用户</v>
      </c>
    </row>
    <row r="271" spans="1:10" x14ac:dyDescent="0.3">
      <c r="A271" s="1">
        <v>45330</v>
      </c>
      <c r="B271" s="2">
        <v>3832.86</v>
      </c>
      <c r="C271" s="2">
        <v>3793.85</v>
      </c>
      <c r="D271" s="2">
        <v>3847.6</v>
      </c>
      <c r="E271" s="2">
        <v>3793.48</v>
      </c>
      <c r="F271" t="s">
        <v>274</v>
      </c>
      <c r="G271" s="3">
        <f t="shared" si="16"/>
        <v>4.1340501116036866E-3</v>
      </c>
      <c r="H271">
        <f t="shared" si="17"/>
        <v>3821.2460000000001</v>
      </c>
      <c r="I271" s="3">
        <f t="shared" si="18"/>
        <v>1.1154683363279632E-2</v>
      </c>
      <c r="J271" s="5" t="str">
        <f t="shared" si="19"/>
        <v>高风险用户</v>
      </c>
    </row>
    <row r="272" spans="1:10" x14ac:dyDescent="0.3">
      <c r="A272" s="1">
        <v>45341</v>
      </c>
      <c r="B272" s="2">
        <v>3803.74</v>
      </c>
      <c r="C272" s="2">
        <v>3829.05</v>
      </c>
      <c r="D272" s="2">
        <v>3864.26</v>
      </c>
      <c r="E272" s="2">
        <v>3801.85</v>
      </c>
      <c r="F272" t="s">
        <v>275</v>
      </c>
      <c r="G272" s="3">
        <f t="shared" si="16"/>
        <v>-7.5974598602610958E-3</v>
      </c>
      <c r="H272">
        <f t="shared" si="17"/>
        <v>3828.9769999999999</v>
      </c>
      <c r="I272" s="3">
        <f t="shared" si="18"/>
        <v>1.1145474437451862E-2</v>
      </c>
      <c r="J272" s="5" t="str">
        <f t="shared" si="19"/>
        <v>高风险用户</v>
      </c>
    </row>
    <row r="273" spans="1:10" x14ac:dyDescent="0.3">
      <c r="A273" s="1">
        <v>45342</v>
      </c>
      <c r="B273" s="2">
        <v>3797.02</v>
      </c>
      <c r="C273" s="2">
        <v>3823.94</v>
      </c>
      <c r="D273" s="2">
        <v>3823.94</v>
      </c>
      <c r="E273" s="2">
        <v>3783.14</v>
      </c>
      <c r="F273" t="s">
        <v>276</v>
      </c>
      <c r="G273" s="3">
        <f t="shared" si="16"/>
        <v>-1.7666822653493142E-3</v>
      </c>
      <c r="H273">
        <f t="shared" si="17"/>
        <v>3838.0715000000005</v>
      </c>
      <c r="I273" s="3">
        <f t="shared" si="18"/>
        <v>1.0933003673149689E-2</v>
      </c>
      <c r="J273" s="5" t="str">
        <f t="shared" si="19"/>
        <v>高风险用户</v>
      </c>
    </row>
    <row r="274" spans="1:10" x14ac:dyDescent="0.3">
      <c r="A274" s="1">
        <v>45343</v>
      </c>
      <c r="B274" s="2">
        <v>3832.61</v>
      </c>
      <c r="C274" s="2">
        <v>3850.36</v>
      </c>
      <c r="D274" s="2">
        <v>3850.91</v>
      </c>
      <c r="E274" s="2">
        <v>3817.12</v>
      </c>
      <c r="F274" t="s">
        <v>277</v>
      </c>
      <c r="G274" s="3">
        <f t="shared" si="16"/>
        <v>9.3731399887280412E-3</v>
      </c>
      <c r="H274">
        <f t="shared" si="17"/>
        <v>3847.4050000000002</v>
      </c>
      <c r="I274" s="3">
        <f t="shared" si="18"/>
        <v>1.091108583548394E-2</v>
      </c>
      <c r="J274" s="5" t="str">
        <f t="shared" si="19"/>
        <v>高风险用户</v>
      </c>
    </row>
    <row r="275" spans="1:10" x14ac:dyDescent="0.3">
      <c r="A275" s="1">
        <v>45344</v>
      </c>
      <c r="B275" s="2">
        <v>3829.68</v>
      </c>
      <c r="C275" s="2">
        <v>3835.3</v>
      </c>
      <c r="D275" s="2">
        <v>3858.67</v>
      </c>
      <c r="E275" s="2">
        <v>3821.98</v>
      </c>
      <c r="F275" t="s">
        <v>278</v>
      </c>
      <c r="G275" s="3">
        <f t="shared" si="16"/>
        <v>-7.6449208241910623E-4</v>
      </c>
      <c r="H275">
        <f t="shared" si="17"/>
        <v>3852.4530000000004</v>
      </c>
      <c r="I275" s="3">
        <f t="shared" si="18"/>
        <v>1.1277093949930829E-2</v>
      </c>
      <c r="J275" s="5" t="str">
        <f t="shared" si="19"/>
        <v>高风险用户</v>
      </c>
    </row>
    <row r="276" spans="1:10" x14ac:dyDescent="0.3">
      <c r="A276" s="1">
        <v>45345</v>
      </c>
      <c r="B276" s="2">
        <v>3812.34</v>
      </c>
      <c r="C276" s="2">
        <v>3788.37</v>
      </c>
      <c r="D276" s="2">
        <v>3831.64</v>
      </c>
      <c r="E276" s="2">
        <v>3780.21</v>
      </c>
      <c r="F276" t="s">
        <v>279</v>
      </c>
      <c r="G276" s="3">
        <f t="shared" si="16"/>
        <v>-4.5277934448830432E-3</v>
      </c>
      <c r="H276">
        <f t="shared" si="17"/>
        <v>3857.3560000000011</v>
      </c>
      <c r="I276" s="3">
        <f t="shared" si="18"/>
        <v>1.128535186176572E-2</v>
      </c>
      <c r="J276" s="5" t="str">
        <f t="shared" si="19"/>
        <v>高风险用户</v>
      </c>
    </row>
    <row r="277" spans="1:10" x14ac:dyDescent="0.3">
      <c r="A277" s="1">
        <v>45348</v>
      </c>
      <c r="B277" s="2">
        <v>3800.38</v>
      </c>
      <c r="C277" s="2">
        <v>3812.19</v>
      </c>
      <c r="D277" s="2">
        <v>3842.95</v>
      </c>
      <c r="E277" s="2">
        <v>3776.29</v>
      </c>
      <c r="F277" t="s">
        <v>280</v>
      </c>
      <c r="G277" s="3">
        <f t="shared" si="16"/>
        <v>-3.1371808390647307E-3</v>
      </c>
      <c r="H277">
        <f t="shared" si="17"/>
        <v>3864.0120000000011</v>
      </c>
      <c r="I277" s="3">
        <f t="shared" si="18"/>
        <v>1.1219420117261673E-2</v>
      </c>
      <c r="J277" s="5" t="str">
        <f t="shared" si="19"/>
        <v>高风险用户</v>
      </c>
    </row>
    <row r="278" spans="1:10" x14ac:dyDescent="0.3">
      <c r="A278" s="1">
        <v>45349</v>
      </c>
      <c r="B278" s="2">
        <v>3796.03</v>
      </c>
      <c r="C278" s="2">
        <v>3810.04</v>
      </c>
      <c r="D278" s="2">
        <v>3816.83</v>
      </c>
      <c r="E278" s="2">
        <v>3790.17</v>
      </c>
      <c r="F278" t="s">
        <v>281</v>
      </c>
      <c r="G278" s="3">
        <f t="shared" si="16"/>
        <v>-1.1446223798672525E-3</v>
      </c>
      <c r="H278">
        <f t="shared" si="17"/>
        <v>3871.0875000000015</v>
      </c>
      <c r="I278" s="3">
        <f t="shared" si="18"/>
        <v>1.1178986899357419E-2</v>
      </c>
      <c r="J278" s="5" t="str">
        <f t="shared" si="19"/>
        <v>高风险用户</v>
      </c>
    </row>
    <row r="279" spans="1:10" x14ac:dyDescent="0.3">
      <c r="A279" s="1">
        <v>45350</v>
      </c>
      <c r="B279" s="2">
        <v>3820.54</v>
      </c>
      <c r="C279" s="2">
        <v>3728.56</v>
      </c>
      <c r="D279" s="2">
        <v>3826.64</v>
      </c>
      <c r="E279" s="2">
        <v>3718.88</v>
      </c>
      <c r="F279" t="s">
        <v>282</v>
      </c>
      <c r="G279" s="3">
        <f t="shared" si="16"/>
        <v>6.4567456000083675E-3</v>
      </c>
      <c r="H279">
        <f t="shared" si="17"/>
        <v>3877.3875000000007</v>
      </c>
      <c r="I279" s="3">
        <f t="shared" si="18"/>
        <v>1.1268141453181651E-2</v>
      </c>
      <c r="J279" s="5" t="str">
        <f t="shared" si="19"/>
        <v>高风险用户</v>
      </c>
    </row>
    <row r="280" spans="1:10" x14ac:dyDescent="0.3">
      <c r="A280" s="1">
        <v>45351</v>
      </c>
      <c r="B280" s="2">
        <v>3722.51</v>
      </c>
      <c r="C280" s="2">
        <v>3704.44</v>
      </c>
      <c r="D280" s="2">
        <v>3737.89</v>
      </c>
      <c r="E280" s="2">
        <v>3704.11</v>
      </c>
      <c r="F280" t="s">
        <v>283</v>
      </c>
      <c r="G280" s="3">
        <f t="shared" si="16"/>
        <v>-2.5658676522166957E-2</v>
      </c>
      <c r="H280">
        <f t="shared" si="17"/>
        <v>3881.9525000000003</v>
      </c>
      <c r="I280" s="3">
        <f t="shared" si="18"/>
        <v>1.1248606085059223E-2</v>
      </c>
      <c r="J280" s="5" t="str">
        <f t="shared" si="19"/>
        <v>高风险用户</v>
      </c>
    </row>
    <row r="281" spans="1:10" x14ac:dyDescent="0.3">
      <c r="A281" s="1">
        <v>45352</v>
      </c>
      <c r="B281" s="2">
        <v>3732.48</v>
      </c>
      <c r="C281" s="2">
        <v>3778.89</v>
      </c>
      <c r="D281" s="2">
        <v>3786.81</v>
      </c>
      <c r="E281" s="2">
        <v>3732.48</v>
      </c>
      <c r="F281" t="s">
        <v>284</v>
      </c>
      <c r="G281" s="3">
        <f t="shared" si="16"/>
        <v>2.6783003940888807E-3</v>
      </c>
      <c r="H281">
        <f t="shared" si="17"/>
        <v>3892.4859999999994</v>
      </c>
      <c r="I281" s="3">
        <f t="shared" si="18"/>
        <v>9.3184257516872471E-3</v>
      </c>
      <c r="J281" s="5" t="str">
        <f t="shared" si="19"/>
        <v>低风险用户</v>
      </c>
    </row>
    <row r="282" spans="1:10" x14ac:dyDescent="0.3">
      <c r="A282" s="1">
        <v>45355</v>
      </c>
      <c r="B282" s="2">
        <v>3779.88</v>
      </c>
      <c r="C282" s="2">
        <v>3780.73</v>
      </c>
      <c r="D282" s="2">
        <v>3795.26</v>
      </c>
      <c r="E282" s="2">
        <v>3768.68</v>
      </c>
      <c r="F282" t="s">
        <v>285</v>
      </c>
      <c r="G282" s="3">
        <f t="shared" si="16"/>
        <v>1.2699331275720189E-2</v>
      </c>
      <c r="H282">
        <f t="shared" si="17"/>
        <v>3907.2869999999994</v>
      </c>
      <c r="I282" s="3">
        <f t="shared" si="18"/>
        <v>1.0478437471315844E-2</v>
      </c>
      <c r="J282" s="5" t="str">
        <f t="shared" si="19"/>
        <v>高风险用户</v>
      </c>
    </row>
    <row r="283" spans="1:10" x14ac:dyDescent="0.3">
      <c r="A283" s="1">
        <v>45356</v>
      </c>
      <c r="B283" s="2">
        <v>3789.22</v>
      </c>
      <c r="C283" s="2">
        <v>3781.26</v>
      </c>
      <c r="D283" s="2">
        <v>3810.74</v>
      </c>
      <c r="E283" s="2">
        <v>3731.19</v>
      </c>
      <c r="F283" t="s">
        <v>286</v>
      </c>
      <c r="G283" s="3">
        <f t="shared" si="16"/>
        <v>2.470977914642711E-3</v>
      </c>
      <c r="H283">
        <f t="shared" si="17"/>
        <v>3917.7344999999996</v>
      </c>
      <c r="I283" s="3">
        <f t="shared" si="18"/>
        <v>1.0689811884502996E-2</v>
      </c>
      <c r="J283" s="5" t="str">
        <f t="shared" si="19"/>
        <v>高风险用户</v>
      </c>
    </row>
    <row r="284" spans="1:10" x14ac:dyDescent="0.3">
      <c r="A284" s="1">
        <v>45357</v>
      </c>
      <c r="B284" s="2">
        <v>3796.11</v>
      </c>
      <c r="C284" s="2">
        <v>3760.87</v>
      </c>
      <c r="D284" s="2">
        <v>3797.6</v>
      </c>
      <c r="E284" s="2">
        <v>3749.06</v>
      </c>
      <c r="F284" t="s">
        <v>287</v>
      </c>
      <c r="G284" s="3">
        <f t="shared" si="16"/>
        <v>1.8183161706103968E-3</v>
      </c>
      <c r="H284">
        <f t="shared" si="17"/>
        <v>3928.0554999999995</v>
      </c>
      <c r="I284" s="3">
        <f t="shared" si="18"/>
        <v>1.0692215877147531E-2</v>
      </c>
      <c r="J284" s="5" t="str">
        <f t="shared" si="19"/>
        <v>高风险用户</v>
      </c>
    </row>
    <row r="285" spans="1:10" x14ac:dyDescent="0.3">
      <c r="A285" s="1">
        <v>45358</v>
      </c>
      <c r="B285" s="2">
        <v>3768.97</v>
      </c>
      <c r="C285" s="2">
        <v>3775.99</v>
      </c>
      <c r="D285" s="2">
        <v>3788.85</v>
      </c>
      <c r="E285" s="2">
        <v>3743.07</v>
      </c>
      <c r="F285" t="s">
        <v>288</v>
      </c>
      <c r="G285" s="3">
        <f t="shared" si="16"/>
        <v>-7.1494240156371458E-3</v>
      </c>
      <c r="H285">
        <f t="shared" si="17"/>
        <v>3936.5785000000005</v>
      </c>
      <c r="I285" s="3">
        <f t="shared" si="18"/>
        <v>1.0922971401020507E-2</v>
      </c>
      <c r="J285" s="5" t="str">
        <f t="shared" si="19"/>
        <v>高风险用户</v>
      </c>
    </row>
    <row r="286" spans="1:10" x14ac:dyDescent="0.3">
      <c r="A286" s="1">
        <v>45359</v>
      </c>
      <c r="B286" s="2">
        <v>3775.16</v>
      </c>
      <c r="C286" s="2">
        <v>3825.24</v>
      </c>
      <c r="D286" s="2">
        <v>3835.94</v>
      </c>
      <c r="E286" s="2">
        <v>3767.67</v>
      </c>
      <c r="F286" t="s">
        <v>289</v>
      </c>
      <c r="G286" s="3">
        <f t="shared" si="16"/>
        <v>1.6423585223549284E-3</v>
      </c>
      <c r="H286">
        <f t="shared" si="17"/>
        <v>3946.7869999999994</v>
      </c>
      <c r="I286" s="3">
        <f t="shared" si="18"/>
        <v>1.0699132585692534E-2</v>
      </c>
      <c r="J286" s="5" t="str">
        <f t="shared" si="19"/>
        <v>高风险用户</v>
      </c>
    </row>
    <row r="287" spans="1:10" x14ac:dyDescent="0.3">
      <c r="A287" s="1">
        <v>45362</v>
      </c>
      <c r="B287" s="2">
        <v>3820.4</v>
      </c>
      <c r="C287" s="2">
        <v>3931.82</v>
      </c>
      <c r="D287" s="2">
        <v>3934.2</v>
      </c>
      <c r="E287" s="2">
        <v>3796.34</v>
      </c>
      <c r="F287" t="s">
        <v>290</v>
      </c>
      <c r="G287" s="3">
        <f t="shared" si="16"/>
        <v>1.1983598046175589E-2</v>
      </c>
      <c r="H287">
        <f t="shared" si="17"/>
        <v>3954.1085000000007</v>
      </c>
      <c r="I287" s="3">
        <f t="shared" si="18"/>
        <v>1.1259393006489572E-2</v>
      </c>
      <c r="J287" s="5" t="str">
        <f t="shared" si="19"/>
        <v>高风险用户</v>
      </c>
    </row>
    <row r="288" spans="1:10" x14ac:dyDescent="0.3">
      <c r="A288" s="1">
        <v>45363</v>
      </c>
      <c r="B288" s="2">
        <v>3934.91</v>
      </c>
      <c r="C288" s="2">
        <v>3995.87</v>
      </c>
      <c r="D288" s="2">
        <v>4004.35</v>
      </c>
      <c r="E288" s="2">
        <v>3934.91</v>
      </c>
      <c r="F288" t="s">
        <v>291</v>
      </c>
      <c r="G288" s="3">
        <f t="shared" si="16"/>
        <v>2.9973301225002556E-2</v>
      </c>
      <c r="H288">
        <f t="shared" si="17"/>
        <v>3959.6164999999992</v>
      </c>
      <c r="I288" s="3">
        <f t="shared" si="18"/>
        <v>1.1011285274994473E-2</v>
      </c>
      <c r="J288" s="5" t="str">
        <f t="shared" si="19"/>
        <v>高风险用户</v>
      </c>
    </row>
    <row r="289" spans="1:10" x14ac:dyDescent="0.3">
      <c r="A289" s="1">
        <v>45364</v>
      </c>
      <c r="B289" s="2">
        <v>3999.05</v>
      </c>
      <c r="C289" s="2">
        <v>3976.7</v>
      </c>
      <c r="D289" s="2">
        <v>4005.78</v>
      </c>
      <c r="E289" s="2">
        <v>3976.7</v>
      </c>
      <c r="F289" t="s">
        <v>292</v>
      </c>
      <c r="G289" s="3">
        <f t="shared" si="16"/>
        <v>1.6300245748949869E-2</v>
      </c>
      <c r="H289">
        <f t="shared" si="17"/>
        <v>3960.4654999999993</v>
      </c>
      <c r="I289" s="3">
        <f t="shared" si="18"/>
        <v>8.8176572643256998E-3</v>
      </c>
      <c r="J289" s="5" t="str">
        <f t="shared" si="19"/>
        <v>低风险用户</v>
      </c>
    </row>
    <row r="290" spans="1:10" x14ac:dyDescent="0.3">
      <c r="A290" s="1">
        <v>45365</v>
      </c>
      <c r="B290" s="2">
        <v>3981.03</v>
      </c>
      <c r="C290" s="2">
        <v>3987.02</v>
      </c>
      <c r="D290" s="2">
        <v>4007.13</v>
      </c>
      <c r="E290" s="2">
        <v>3970.94</v>
      </c>
      <c r="F290" t="s">
        <v>293</v>
      </c>
      <c r="G290" s="3">
        <f t="shared" si="16"/>
        <v>-4.5060701916705172E-3</v>
      </c>
      <c r="H290">
        <f t="shared" si="17"/>
        <v>3957.8944999999999</v>
      </c>
      <c r="I290" s="3">
        <f t="shared" si="18"/>
        <v>7.9683406406536803E-3</v>
      </c>
      <c r="J290" s="5" t="str">
        <f t="shared" si="19"/>
        <v>低风险用户</v>
      </c>
    </row>
    <row r="291" spans="1:10" x14ac:dyDescent="0.3">
      <c r="A291" s="1">
        <v>45366</v>
      </c>
      <c r="B291" s="2">
        <v>3987.48</v>
      </c>
      <c r="C291" s="2">
        <v>3981.73</v>
      </c>
      <c r="D291" s="2">
        <v>3991.53</v>
      </c>
      <c r="E291" s="2">
        <v>3965.55</v>
      </c>
      <c r="F291" t="s">
        <v>294</v>
      </c>
      <c r="G291" s="3">
        <f t="shared" si="16"/>
        <v>1.6201837212982111E-3</v>
      </c>
      <c r="H291">
        <f t="shared" si="17"/>
        <v>3954.672</v>
      </c>
      <c r="I291" s="3">
        <f t="shared" si="18"/>
        <v>8.0891311149344208E-3</v>
      </c>
      <c r="J291" s="5" t="str">
        <f t="shared" si="19"/>
        <v>低风险用户</v>
      </c>
    </row>
    <row r="292" spans="1:10" x14ac:dyDescent="0.3">
      <c r="A292" s="1">
        <v>45369</v>
      </c>
      <c r="B292" s="2">
        <v>3985.63</v>
      </c>
      <c r="C292" s="2">
        <v>3987.96</v>
      </c>
      <c r="D292" s="2">
        <v>4007.76</v>
      </c>
      <c r="E292" s="2">
        <v>3969.48</v>
      </c>
      <c r="F292" t="s">
        <v>295</v>
      </c>
      <c r="G292" s="3">
        <f t="shared" si="16"/>
        <v>-4.6395217029299434E-4</v>
      </c>
      <c r="H292">
        <f t="shared" si="17"/>
        <v>3948.9255000000003</v>
      </c>
      <c r="I292" s="3">
        <f t="shared" si="18"/>
        <v>8.3934254381552442E-3</v>
      </c>
      <c r="J292" s="5" t="str">
        <f t="shared" si="19"/>
        <v>低风险用户</v>
      </c>
    </row>
    <row r="293" spans="1:10" x14ac:dyDescent="0.3">
      <c r="A293" s="1">
        <v>45370</v>
      </c>
      <c r="B293" s="2">
        <v>3983.69</v>
      </c>
      <c r="C293" s="2">
        <v>3934.94</v>
      </c>
      <c r="D293" s="2">
        <v>3985.86</v>
      </c>
      <c r="E293" s="2">
        <v>3934.73</v>
      </c>
      <c r="F293" t="s">
        <v>296</v>
      </c>
      <c r="G293" s="3">
        <f t="shared" si="16"/>
        <v>-4.8674864450539925E-4</v>
      </c>
      <c r="H293">
        <f t="shared" si="17"/>
        <v>3944.9960000000001</v>
      </c>
      <c r="I293" s="3">
        <f t="shared" si="18"/>
        <v>8.7057723027877953E-3</v>
      </c>
      <c r="J293" s="5" t="str">
        <f t="shared" si="19"/>
        <v>低风险用户</v>
      </c>
    </row>
    <row r="294" spans="1:10" x14ac:dyDescent="0.3">
      <c r="A294" s="1">
        <v>45371</v>
      </c>
      <c r="B294" s="2">
        <v>3933.57</v>
      </c>
      <c r="C294" s="2">
        <v>3928.15</v>
      </c>
      <c r="D294" s="2">
        <v>3965.85</v>
      </c>
      <c r="E294" s="2">
        <v>3928.15</v>
      </c>
      <c r="F294" t="s">
        <v>297</v>
      </c>
      <c r="G294" s="3">
        <f t="shared" si="16"/>
        <v>-1.2581300251776591E-2</v>
      </c>
      <c r="H294">
        <f t="shared" si="17"/>
        <v>3937.8204999999989</v>
      </c>
      <c r="I294" s="3">
        <f t="shared" si="18"/>
        <v>9.4225443368998133E-3</v>
      </c>
      <c r="J294" s="5" t="str">
        <f t="shared" si="19"/>
        <v>低风险用户</v>
      </c>
    </row>
    <row r="295" spans="1:10" x14ac:dyDescent="0.3">
      <c r="A295" s="1">
        <v>45372</v>
      </c>
      <c r="B295" s="2">
        <v>3927.74</v>
      </c>
      <c r="C295" s="2">
        <v>3937.47</v>
      </c>
      <c r="D295" s="2">
        <v>3958.63</v>
      </c>
      <c r="E295" s="2">
        <v>3923.26</v>
      </c>
      <c r="F295" t="s">
        <v>298</v>
      </c>
      <c r="G295" s="3">
        <f t="shared" si="16"/>
        <v>-1.4821142117721006E-3</v>
      </c>
      <c r="H295">
        <f t="shared" si="17"/>
        <v>3933.546499999999</v>
      </c>
      <c r="I295" s="3">
        <f t="shared" si="18"/>
        <v>9.1034248171849332E-3</v>
      </c>
      <c r="J295" s="5" t="str">
        <f t="shared" si="19"/>
        <v>低风险用户</v>
      </c>
    </row>
    <row r="296" spans="1:10" x14ac:dyDescent="0.3">
      <c r="A296" s="1">
        <v>45373</v>
      </c>
      <c r="B296" s="2">
        <v>3945.46</v>
      </c>
      <c r="C296" s="2">
        <v>3911.89</v>
      </c>
      <c r="D296" s="2">
        <v>3954.35</v>
      </c>
      <c r="E296" s="2">
        <v>3899.75</v>
      </c>
      <c r="F296" t="s">
        <v>299</v>
      </c>
      <c r="G296" s="3">
        <f t="shared" si="16"/>
        <v>4.5115002520534084E-3</v>
      </c>
      <c r="H296">
        <f t="shared" si="17"/>
        <v>3930.4444999999992</v>
      </c>
      <c r="I296" s="3">
        <f t="shared" si="18"/>
        <v>9.1889890874605421E-3</v>
      </c>
      <c r="J296" s="5" t="str">
        <f t="shared" si="19"/>
        <v>低风险用户</v>
      </c>
    </row>
    <row r="297" spans="1:10" x14ac:dyDescent="0.3">
      <c r="A297" s="1">
        <v>45376</v>
      </c>
      <c r="B297" s="2">
        <v>3941.89</v>
      </c>
      <c r="C297" s="2">
        <v>3934.54</v>
      </c>
      <c r="D297" s="2">
        <v>3956.14</v>
      </c>
      <c r="E297" s="2">
        <v>3933.97</v>
      </c>
      <c r="F297" t="s">
        <v>300</v>
      </c>
      <c r="G297" s="3">
        <f t="shared" si="16"/>
        <v>-9.0483745875009848E-4</v>
      </c>
      <c r="H297">
        <f t="shared" si="17"/>
        <v>3932.6364999999996</v>
      </c>
      <c r="I297" s="3">
        <f t="shared" si="18"/>
        <v>1.1720574619574584E-2</v>
      </c>
      <c r="J297" s="5" t="str">
        <f t="shared" si="19"/>
        <v>高风险用户</v>
      </c>
    </row>
    <row r="298" spans="1:10" x14ac:dyDescent="0.3">
      <c r="A298" s="1">
        <v>45377</v>
      </c>
      <c r="B298" s="2">
        <v>3922.03</v>
      </c>
      <c r="C298" s="2">
        <v>3908.13</v>
      </c>
      <c r="D298" s="2">
        <v>3955.95</v>
      </c>
      <c r="E298" s="2">
        <v>3908.13</v>
      </c>
      <c r="F298" t="s">
        <v>301</v>
      </c>
      <c r="G298" s="3">
        <f t="shared" si="16"/>
        <v>-5.0381923392077586E-3</v>
      </c>
      <c r="H298">
        <f t="shared" si="17"/>
        <v>3934.8305</v>
      </c>
      <c r="I298" s="3">
        <f t="shared" si="18"/>
        <v>1.1720438963200821E-2</v>
      </c>
      <c r="J298" s="5" t="str">
        <f t="shared" si="19"/>
        <v>高风险用户</v>
      </c>
    </row>
    <row r="299" spans="1:10" x14ac:dyDescent="0.3">
      <c r="A299" s="1">
        <v>45378</v>
      </c>
      <c r="B299" s="2">
        <v>3911.84</v>
      </c>
      <c r="C299" s="2">
        <v>3930.78</v>
      </c>
      <c r="D299" s="2">
        <v>3938.76</v>
      </c>
      <c r="E299" s="2">
        <v>3901.65</v>
      </c>
      <c r="F299" t="s">
        <v>302</v>
      </c>
      <c r="G299" s="3">
        <f t="shared" si="16"/>
        <v>-2.5981443283197869E-3</v>
      </c>
      <c r="H299">
        <f t="shared" si="17"/>
        <v>3937.5735</v>
      </c>
      <c r="I299" s="3">
        <f t="shared" si="18"/>
        <v>1.1665773276625281E-2</v>
      </c>
      <c r="J299" s="5" t="str">
        <f t="shared" si="19"/>
        <v>高风险用户</v>
      </c>
    </row>
    <row r="300" spans="1:10" x14ac:dyDescent="0.3">
      <c r="A300" s="1">
        <v>45379</v>
      </c>
      <c r="B300" s="2">
        <v>3933.18</v>
      </c>
      <c r="C300" s="2">
        <v>4000.99</v>
      </c>
      <c r="D300" s="2">
        <v>4000.99</v>
      </c>
      <c r="E300" s="2">
        <v>3931.74</v>
      </c>
      <c r="F300" t="s">
        <v>303</v>
      </c>
      <c r="G300" s="3">
        <f t="shared" si="16"/>
        <v>5.4552333428769303E-3</v>
      </c>
      <c r="H300">
        <f t="shared" si="17"/>
        <v>3939.5005000000006</v>
      </c>
      <c r="I300" s="3">
        <f t="shared" si="18"/>
        <v>1.1762444551078831E-2</v>
      </c>
      <c r="J300" s="5" t="str">
        <f t="shared" si="19"/>
        <v>高风险用户</v>
      </c>
    </row>
    <row r="301" spans="1:10" x14ac:dyDescent="0.3">
      <c r="A301" s="1">
        <v>45380</v>
      </c>
      <c r="B301" s="2">
        <v>4028.5</v>
      </c>
      <c r="C301" s="2">
        <v>3987.15</v>
      </c>
      <c r="D301" s="2">
        <v>4031.74</v>
      </c>
      <c r="E301" s="2">
        <v>3981.35</v>
      </c>
      <c r="F301" t="s">
        <v>304</v>
      </c>
      <c r="G301" s="3">
        <f t="shared" si="16"/>
        <v>2.4234843053203812E-2</v>
      </c>
      <c r="H301">
        <f t="shared" si="17"/>
        <v>3941.2830000000008</v>
      </c>
      <c r="I301" s="3">
        <f t="shared" si="18"/>
        <v>1.174653678820621E-2</v>
      </c>
      <c r="J301" s="5" t="str">
        <f t="shared" si="19"/>
        <v>高风险用户</v>
      </c>
    </row>
    <row r="302" spans="1:10" x14ac:dyDescent="0.3">
      <c r="A302" s="1">
        <v>45383</v>
      </c>
      <c r="B302" s="2">
        <v>3988.83</v>
      </c>
      <c r="C302" s="2">
        <v>3988.02</v>
      </c>
      <c r="D302" s="2">
        <v>4005.33</v>
      </c>
      <c r="E302" s="2">
        <v>3977.35</v>
      </c>
      <c r="F302" t="s">
        <v>305</v>
      </c>
      <c r="G302" s="3">
        <f t="shared" si="16"/>
        <v>-9.8473377187538961E-3</v>
      </c>
      <c r="H302">
        <f t="shared" si="17"/>
        <v>3941.8390000000009</v>
      </c>
      <c r="I302" s="3">
        <f t="shared" si="18"/>
        <v>1.1137922988702762E-2</v>
      </c>
      <c r="J302" s="5" t="str">
        <f t="shared" si="19"/>
        <v>高风险用户</v>
      </c>
    </row>
    <row r="303" spans="1:10" x14ac:dyDescent="0.3">
      <c r="A303" s="1">
        <v>45384</v>
      </c>
      <c r="B303" s="2">
        <v>3995.64</v>
      </c>
      <c r="C303" s="2">
        <v>4094.05</v>
      </c>
      <c r="D303" s="2">
        <v>4098.38</v>
      </c>
      <c r="E303" s="2">
        <v>3988.97</v>
      </c>
      <c r="F303" t="s">
        <v>306</v>
      </c>
      <c r="G303" s="3">
        <f t="shared" si="16"/>
        <v>1.707267544618333E-3</v>
      </c>
      <c r="H303">
        <f t="shared" si="17"/>
        <v>3947.942</v>
      </c>
      <c r="I303" s="3">
        <f t="shared" si="18"/>
        <v>1.1522818167938433E-2</v>
      </c>
      <c r="J303" s="5" t="str">
        <f t="shared" si="19"/>
        <v>高风险用户</v>
      </c>
    </row>
    <row r="304" spans="1:10" x14ac:dyDescent="0.3">
      <c r="A304" s="1">
        <v>45385</v>
      </c>
      <c r="B304" s="2">
        <v>3966.57</v>
      </c>
      <c r="C304" s="2">
        <v>3970.66</v>
      </c>
      <c r="D304" s="2">
        <v>3995.51</v>
      </c>
      <c r="E304" s="2">
        <v>3948.42</v>
      </c>
      <c r="F304" t="s">
        <v>307</v>
      </c>
      <c r="G304" s="3">
        <f t="shared" si="16"/>
        <v>-7.2754302189385707E-3</v>
      </c>
      <c r="H304">
        <f t="shared" si="17"/>
        <v>3952.4469999999992</v>
      </c>
      <c r="I304" s="3">
        <f t="shared" si="18"/>
        <v>1.1650090145896639E-2</v>
      </c>
      <c r="J304" s="5" t="str">
        <f t="shared" si="19"/>
        <v>高风险用户</v>
      </c>
    </row>
    <row r="305" spans="1:10" x14ac:dyDescent="0.3">
      <c r="A305" s="1">
        <v>45390</v>
      </c>
      <c r="B305" s="2">
        <v>3973.14</v>
      </c>
      <c r="C305" s="2">
        <v>3923.9</v>
      </c>
      <c r="D305" s="2">
        <v>3995.12</v>
      </c>
      <c r="E305" s="2">
        <v>3923.9</v>
      </c>
      <c r="F305" t="s">
        <v>308</v>
      </c>
      <c r="G305" s="3">
        <f t="shared" si="16"/>
        <v>1.6563428856668882E-3</v>
      </c>
      <c r="H305">
        <f t="shared" si="17"/>
        <v>3960.6750000000002</v>
      </c>
      <c r="I305" s="3">
        <f t="shared" si="18"/>
        <v>1.1673140186673916E-2</v>
      </c>
      <c r="J305" s="5" t="str">
        <f t="shared" si="19"/>
        <v>高风险用户</v>
      </c>
    </row>
    <row r="306" spans="1:10" x14ac:dyDescent="0.3">
      <c r="A306" s="1">
        <v>45391</v>
      </c>
      <c r="B306" s="2">
        <v>3921.59</v>
      </c>
      <c r="C306" s="2">
        <v>3916.56</v>
      </c>
      <c r="D306" s="2">
        <v>3936.34</v>
      </c>
      <c r="E306" s="2">
        <v>3910.08</v>
      </c>
      <c r="F306" t="s">
        <v>309</v>
      </c>
      <c r="G306" s="3">
        <f t="shared" si="16"/>
        <v>-1.2974624604217251E-2</v>
      </c>
      <c r="H306">
        <f t="shared" si="17"/>
        <v>3967.2205000000008</v>
      </c>
      <c r="I306" s="3">
        <f t="shared" si="18"/>
        <v>1.1832837216569764E-2</v>
      </c>
      <c r="J306" s="5" t="str">
        <f t="shared" si="19"/>
        <v>高风险用户</v>
      </c>
    </row>
    <row r="307" spans="1:10" x14ac:dyDescent="0.3">
      <c r="A307" s="1">
        <v>45392</v>
      </c>
      <c r="B307" s="2">
        <v>3930.56</v>
      </c>
      <c r="C307" s="2">
        <v>3948.13</v>
      </c>
      <c r="D307" s="2">
        <v>3957.36</v>
      </c>
      <c r="E307" s="2">
        <v>3917.75</v>
      </c>
      <c r="F307" t="s">
        <v>310</v>
      </c>
      <c r="G307" s="3">
        <f t="shared" si="16"/>
        <v>2.2873375340103884E-3</v>
      </c>
      <c r="H307">
        <f t="shared" si="17"/>
        <v>3978.4260000000004</v>
      </c>
      <c r="I307" s="3">
        <f t="shared" si="18"/>
        <v>1.14481626714041E-2</v>
      </c>
      <c r="J307" s="5" t="str">
        <f t="shared" si="19"/>
        <v>高风险用户</v>
      </c>
    </row>
    <row r="308" spans="1:10" x14ac:dyDescent="0.3">
      <c r="A308" s="1">
        <v>45393</v>
      </c>
      <c r="B308" s="2">
        <v>3951.89</v>
      </c>
      <c r="C308" s="2">
        <v>3946.7</v>
      </c>
      <c r="D308" s="2">
        <v>3963.95</v>
      </c>
      <c r="E308" s="2">
        <v>3922.84</v>
      </c>
      <c r="F308" t="s">
        <v>311</v>
      </c>
      <c r="G308" s="3">
        <f t="shared" si="16"/>
        <v>5.4267076447121858E-3</v>
      </c>
      <c r="H308">
        <f t="shared" si="17"/>
        <v>3983.1120000000001</v>
      </c>
      <c r="I308" s="3">
        <f t="shared" si="18"/>
        <v>1.3518969952411055E-2</v>
      </c>
      <c r="J308" s="5" t="str">
        <f t="shared" si="19"/>
        <v>高风险用户</v>
      </c>
    </row>
    <row r="309" spans="1:10" x14ac:dyDescent="0.3">
      <c r="A309" s="1">
        <v>45394</v>
      </c>
      <c r="B309" s="2">
        <v>3947.63</v>
      </c>
      <c r="C309" s="2">
        <v>3909.7</v>
      </c>
      <c r="D309" s="2">
        <v>3955.13</v>
      </c>
      <c r="E309" s="2">
        <v>3902.17</v>
      </c>
      <c r="F309" t="s">
        <v>312</v>
      </c>
      <c r="G309" s="3">
        <f t="shared" si="16"/>
        <v>-1.0779652267648551E-3</v>
      </c>
      <c r="H309">
        <f t="shared" si="17"/>
        <v>3987.7460000000001</v>
      </c>
      <c r="I309" s="3">
        <f t="shared" si="18"/>
        <v>1.3513008574213706E-2</v>
      </c>
      <c r="J309" s="5" t="str">
        <f t="shared" si="19"/>
        <v>高风险用户</v>
      </c>
    </row>
    <row r="310" spans="1:10" x14ac:dyDescent="0.3">
      <c r="A310" s="1">
        <v>45397</v>
      </c>
      <c r="B310" s="2">
        <v>3916.58</v>
      </c>
      <c r="C310" s="2">
        <v>3869.89</v>
      </c>
      <c r="D310" s="2">
        <v>3962.7</v>
      </c>
      <c r="E310" s="2">
        <v>3869.89</v>
      </c>
      <c r="F310" t="s">
        <v>313</v>
      </c>
      <c r="G310" s="3">
        <f t="shared" si="16"/>
        <v>-7.8654787809394958E-3</v>
      </c>
      <c r="H310">
        <f t="shared" si="17"/>
        <v>3987.6025</v>
      </c>
      <c r="I310" s="3">
        <f t="shared" si="18"/>
        <v>1.4704502329402864E-2</v>
      </c>
      <c r="J310" s="5" t="str">
        <f t="shared" si="19"/>
        <v>高风险用户</v>
      </c>
    </row>
    <row r="311" spans="1:10" x14ac:dyDescent="0.3">
      <c r="A311" s="1">
        <v>45398</v>
      </c>
      <c r="B311" s="2">
        <v>3872.55</v>
      </c>
      <c r="C311" s="2">
        <v>3904.25</v>
      </c>
      <c r="D311" s="2">
        <v>3908.39</v>
      </c>
      <c r="E311" s="2">
        <v>3866.01</v>
      </c>
      <c r="F311" t="s">
        <v>314</v>
      </c>
      <c r="G311" s="3">
        <f t="shared" si="16"/>
        <v>-1.1241950885721661E-2</v>
      </c>
      <c r="H311">
        <f t="shared" si="17"/>
        <v>3986.2745000000004</v>
      </c>
      <c r="I311" s="3">
        <f t="shared" si="18"/>
        <v>1.4934791702363615E-2</v>
      </c>
      <c r="J311" s="5" t="str">
        <f t="shared" si="19"/>
        <v>高风险用户</v>
      </c>
    </row>
    <row r="312" spans="1:10" x14ac:dyDescent="0.3">
      <c r="A312" s="1">
        <v>45399</v>
      </c>
      <c r="B312" s="2">
        <v>3907.04</v>
      </c>
      <c r="C312" s="2">
        <v>3829.34</v>
      </c>
      <c r="D312" s="2">
        <v>3907.16</v>
      </c>
      <c r="E312" s="2">
        <v>3817.91</v>
      </c>
      <c r="F312" t="s">
        <v>315</v>
      </c>
      <c r="G312" s="3">
        <f t="shared" si="16"/>
        <v>8.9062762262591272E-3</v>
      </c>
      <c r="H312">
        <f t="shared" si="17"/>
        <v>3987.1989999999996</v>
      </c>
      <c r="I312" s="3">
        <f t="shared" si="18"/>
        <v>1.4708339929265322E-2</v>
      </c>
      <c r="J312" s="5" t="str">
        <f t="shared" si="19"/>
        <v>高风险用户</v>
      </c>
    </row>
    <row r="313" spans="1:10" x14ac:dyDescent="0.3">
      <c r="A313" s="1">
        <v>45400</v>
      </c>
      <c r="B313" s="2">
        <v>3840.18</v>
      </c>
      <c r="C313" s="2">
        <v>3836.26</v>
      </c>
      <c r="D313" s="2">
        <v>3875.23</v>
      </c>
      <c r="E313" s="2">
        <v>3833.28</v>
      </c>
      <c r="F313" t="s">
        <v>316</v>
      </c>
      <c r="G313" s="3">
        <f t="shared" si="16"/>
        <v>-1.7112699127728441E-2</v>
      </c>
      <c r="H313">
        <f t="shared" si="17"/>
        <v>3986.3194999999992</v>
      </c>
      <c r="I313" s="3">
        <f t="shared" si="18"/>
        <v>1.4569669768471445E-2</v>
      </c>
      <c r="J313" s="5" t="str">
        <f t="shared" si="19"/>
        <v>高风险用户</v>
      </c>
    </row>
    <row r="314" spans="1:10" x14ac:dyDescent="0.3">
      <c r="A314" s="1">
        <v>45401</v>
      </c>
      <c r="B314" s="2">
        <v>3848.09</v>
      </c>
      <c r="C314" s="2">
        <v>3875.61</v>
      </c>
      <c r="D314" s="2">
        <v>3889.71</v>
      </c>
      <c r="E314" s="2">
        <v>3812.32</v>
      </c>
      <c r="F314" t="s">
        <v>317</v>
      </c>
      <c r="G314" s="3">
        <f t="shared" si="16"/>
        <v>2.0597992802421526E-3</v>
      </c>
      <c r="H314">
        <f t="shared" si="17"/>
        <v>3990.5429999999992</v>
      </c>
      <c r="I314" s="3">
        <f t="shared" si="18"/>
        <v>1.4132067722641722E-2</v>
      </c>
      <c r="J314" s="5" t="str">
        <f t="shared" si="19"/>
        <v>高风险用户</v>
      </c>
    </row>
    <row r="315" spans="1:10" x14ac:dyDescent="0.3">
      <c r="A315" s="1">
        <v>45404</v>
      </c>
      <c r="B315" s="2">
        <v>3865.7</v>
      </c>
      <c r="C315" s="2">
        <v>3984.24</v>
      </c>
      <c r="D315" s="2">
        <v>3990.26</v>
      </c>
      <c r="E315" s="2">
        <v>3865.7</v>
      </c>
      <c r="F315" t="s">
        <v>318</v>
      </c>
      <c r="G315" s="3">
        <f t="shared" si="16"/>
        <v>4.5762962924462969E-3</v>
      </c>
      <c r="H315">
        <f t="shared" si="17"/>
        <v>3996.3464999999997</v>
      </c>
      <c r="I315" s="3">
        <f t="shared" si="18"/>
        <v>1.4270945491591042E-2</v>
      </c>
      <c r="J315" s="5" t="str">
        <f t="shared" si="19"/>
        <v>高风险用户</v>
      </c>
    </row>
    <row r="316" spans="1:10" x14ac:dyDescent="0.3">
      <c r="A316" s="1">
        <v>45405</v>
      </c>
      <c r="B316" s="2">
        <v>3989.3</v>
      </c>
      <c r="C316" s="2">
        <v>3979.46</v>
      </c>
      <c r="D316" s="2">
        <v>3999.57</v>
      </c>
      <c r="E316" s="2">
        <v>3966.07</v>
      </c>
      <c r="F316" t="s">
        <v>319</v>
      </c>
      <c r="G316" s="3">
        <f t="shared" si="16"/>
        <v>3.1973510619034168E-2</v>
      </c>
      <c r="H316">
        <f t="shared" si="17"/>
        <v>4000.8824999999997</v>
      </c>
      <c r="I316" s="3">
        <f t="shared" si="18"/>
        <v>1.4273562003846423E-2</v>
      </c>
      <c r="J316" s="5" t="str">
        <f t="shared" si="19"/>
        <v>高风险用户</v>
      </c>
    </row>
    <row r="317" spans="1:10" x14ac:dyDescent="0.3">
      <c r="A317" s="1">
        <v>45406</v>
      </c>
      <c r="B317" s="2">
        <v>3985.77</v>
      </c>
      <c r="C317" s="2">
        <v>3966.12</v>
      </c>
      <c r="D317" s="2">
        <v>4001.08</v>
      </c>
      <c r="E317" s="2">
        <v>3958.34</v>
      </c>
      <c r="F317" t="s">
        <v>320</v>
      </c>
      <c r="G317" s="3">
        <f t="shared" si="16"/>
        <v>-8.8486701927661493E-4</v>
      </c>
      <c r="H317">
        <f t="shared" si="17"/>
        <v>3997.8589999999995</v>
      </c>
      <c r="I317" s="3">
        <f t="shared" si="18"/>
        <v>1.2395623314088564E-2</v>
      </c>
      <c r="J317" s="5" t="str">
        <f t="shared" si="19"/>
        <v>高风险用户</v>
      </c>
    </row>
    <row r="318" spans="1:10" x14ac:dyDescent="0.3">
      <c r="A318" s="1">
        <v>45407</v>
      </c>
      <c r="B318" s="2">
        <v>3976.89</v>
      </c>
      <c r="C318" s="2">
        <v>3954.6</v>
      </c>
      <c r="D318" s="2">
        <v>3979.15</v>
      </c>
      <c r="E318" s="2">
        <v>3896.75</v>
      </c>
      <c r="F318" t="s">
        <v>321</v>
      </c>
      <c r="G318" s="3">
        <f t="shared" si="16"/>
        <v>-2.2279258461978761E-3</v>
      </c>
      <c r="H318">
        <f t="shared" si="17"/>
        <v>3997.2309999999998</v>
      </c>
      <c r="I318" s="3">
        <f t="shared" si="18"/>
        <v>1.2681493022256045E-2</v>
      </c>
      <c r="J318" s="5" t="str">
        <f t="shared" si="19"/>
        <v>高风险用户</v>
      </c>
    </row>
    <row r="319" spans="1:10" x14ac:dyDescent="0.3">
      <c r="A319" s="1">
        <v>45408</v>
      </c>
      <c r="B319" s="2">
        <v>3950.38</v>
      </c>
      <c r="C319" s="2">
        <v>3982.1</v>
      </c>
      <c r="D319" s="2">
        <v>4034.06</v>
      </c>
      <c r="E319" s="2">
        <v>3931.19</v>
      </c>
      <c r="F319" t="s">
        <v>322</v>
      </c>
      <c r="G319" s="3">
        <f t="shared" si="16"/>
        <v>-6.6660128894688473E-3</v>
      </c>
      <c r="H319">
        <f t="shared" si="17"/>
        <v>3996.2755000000006</v>
      </c>
      <c r="I319" s="3">
        <f t="shared" si="18"/>
        <v>1.2701632616912782E-2</v>
      </c>
      <c r="J319" s="5" t="str">
        <f t="shared" si="19"/>
        <v>高风险用户</v>
      </c>
    </row>
    <row r="320" spans="1:10" x14ac:dyDescent="0.3">
      <c r="A320" s="1">
        <v>45411</v>
      </c>
      <c r="B320" s="2">
        <v>3968.83</v>
      </c>
      <c r="C320" s="2">
        <v>4025.65</v>
      </c>
      <c r="D320" s="2">
        <v>4049.07</v>
      </c>
      <c r="E320" s="2">
        <v>3968.83</v>
      </c>
      <c r="F320" t="s">
        <v>323</v>
      </c>
      <c r="G320" s="3">
        <f t="shared" si="16"/>
        <v>4.6704367681083383E-3</v>
      </c>
      <c r="H320">
        <f t="shared" si="17"/>
        <v>3995.5165000000002</v>
      </c>
      <c r="I320" s="3">
        <f t="shared" si="18"/>
        <v>1.2677539618203221E-2</v>
      </c>
      <c r="J320" s="5" t="str">
        <f t="shared" si="19"/>
        <v>高风险用户</v>
      </c>
    </row>
    <row r="321" spans="1:10" x14ac:dyDescent="0.3">
      <c r="A321" s="1">
        <v>45412</v>
      </c>
      <c r="B321" s="2">
        <v>4039.62</v>
      </c>
      <c r="C321" s="2">
        <v>4101.22</v>
      </c>
      <c r="D321" s="2">
        <v>4118.17</v>
      </c>
      <c r="E321" s="2">
        <v>4034.94</v>
      </c>
      <c r="F321" t="s">
        <v>324</v>
      </c>
      <c r="G321" s="3">
        <f t="shared" si="16"/>
        <v>1.783649085498748E-2</v>
      </c>
      <c r="H321">
        <f t="shared" si="17"/>
        <v>3993.3364999999999</v>
      </c>
      <c r="I321" s="3">
        <f t="shared" si="18"/>
        <v>1.2636672543309441E-2</v>
      </c>
      <c r="J321" s="5" t="str">
        <f t="shared" si="19"/>
        <v>高风险用户</v>
      </c>
    </row>
    <row r="322" spans="1:10" x14ac:dyDescent="0.3">
      <c r="A322" s="1">
        <v>45418</v>
      </c>
      <c r="B322" s="2">
        <v>4110.8900000000003</v>
      </c>
      <c r="C322" s="2">
        <v>4059.59</v>
      </c>
      <c r="D322" s="2">
        <v>4121.07</v>
      </c>
      <c r="E322" s="2">
        <v>4059.59</v>
      </c>
      <c r="F322" t="s">
        <v>325</v>
      </c>
      <c r="G322" s="3">
        <f t="shared" si="16"/>
        <v>1.7642748575361158E-2</v>
      </c>
      <c r="H322">
        <f t="shared" si="17"/>
        <v>3980.7665000000002</v>
      </c>
      <c r="I322" s="3">
        <f t="shared" si="18"/>
        <v>1.4039341781430743E-2</v>
      </c>
      <c r="J322" s="5" t="str">
        <f t="shared" si="19"/>
        <v>高风险用户</v>
      </c>
    </row>
    <row r="323" spans="1:10" x14ac:dyDescent="0.3">
      <c r="A323" s="1">
        <v>45419</v>
      </c>
      <c r="B323" s="2">
        <v>4085.74</v>
      </c>
      <c r="C323" s="2">
        <v>4133.3500000000004</v>
      </c>
      <c r="D323" s="2">
        <v>4181.71</v>
      </c>
      <c r="E323" s="2">
        <v>4060.79</v>
      </c>
      <c r="F323" t="s">
        <v>326</v>
      </c>
      <c r="G323" s="3">
        <f t="shared" ref="G323:G386" si="20">IFERROR((B323-B322)/B322,"")</f>
        <v>-6.1178966111962475E-3</v>
      </c>
      <c r="H323">
        <f t="shared" ref="H323:H386" si="21">AVERAGE(B323:B342)</f>
        <v>3966.8014999999991</v>
      </c>
      <c r="I323" s="3">
        <f t="shared" ref="I323:I386" si="22">IFERROR(STDEV(G323:G342),"")</f>
        <v>1.3619417061942017E-2</v>
      </c>
      <c r="J323" s="5" t="str">
        <f t="shared" ref="J323:J386" si="23">IF(ROW()&lt;22,"未知",IF(I323&gt;AVERAGE(I:I),"高风险用户","低风险用户"))</f>
        <v>高风险用户</v>
      </c>
    </row>
    <row r="324" spans="1:10" x14ac:dyDescent="0.3">
      <c r="A324" s="1">
        <v>45420</v>
      </c>
      <c r="B324" s="2">
        <v>4131.13</v>
      </c>
      <c r="C324" s="2">
        <v>4066.93</v>
      </c>
      <c r="D324" s="2">
        <v>4132.51</v>
      </c>
      <c r="E324" s="2">
        <v>4048.04</v>
      </c>
      <c r="F324" t="s">
        <v>327</v>
      </c>
      <c r="G324" s="3">
        <f t="shared" si="20"/>
        <v>1.1109370640324722E-2</v>
      </c>
      <c r="H324">
        <f t="shared" si="21"/>
        <v>3955.3139999999999</v>
      </c>
      <c r="I324" s="3">
        <f t="shared" si="22"/>
        <v>1.3774656265505808E-2</v>
      </c>
      <c r="J324" s="5" t="str">
        <f t="shared" si="23"/>
        <v>高风险用户</v>
      </c>
    </row>
    <row r="325" spans="1:10" x14ac:dyDescent="0.3">
      <c r="A325" s="1">
        <v>45421</v>
      </c>
      <c r="B325" s="2">
        <v>4104.05</v>
      </c>
      <c r="C325" s="2">
        <v>4192.08</v>
      </c>
      <c r="D325" s="2">
        <v>4200.91</v>
      </c>
      <c r="E325" s="2">
        <v>4094.16</v>
      </c>
      <c r="F325" t="s">
        <v>328</v>
      </c>
      <c r="G325" s="3">
        <f t="shared" si="20"/>
        <v>-6.5551071982726094E-3</v>
      </c>
      <c r="H325">
        <f t="shared" si="21"/>
        <v>3946.8245000000002</v>
      </c>
      <c r="I325" s="3">
        <f t="shared" si="22"/>
        <v>1.5053762745840396E-2</v>
      </c>
      <c r="J325" s="5" t="str">
        <f t="shared" si="23"/>
        <v>高风险用户</v>
      </c>
    </row>
    <row r="326" spans="1:10" x14ac:dyDescent="0.3">
      <c r="A326" s="1">
        <v>45422</v>
      </c>
      <c r="B326" s="2">
        <v>4145.7</v>
      </c>
      <c r="C326" s="2">
        <v>3987.27</v>
      </c>
      <c r="D326" s="2">
        <v>4146.1499999999996</v>
      </c>
      <c r="E326" s="2">
        <v>3984.67</v>
      </c>
      <c r="F326" t="s">
        <v>329</v>
      </c>
      <c r="G326" s="3">
        <f t="shared" si="20"/>
        <v>1.0148511835869357E-2</v>
      </c>
      <c r="H326">
        <f t="shared" si="21"/>
        <v>3935.9805000000001</v>
      </c>
      <c r="I326" s="3">
        <f t="shared" si="22"/>
        <v>1.5487718233953089E-2</v>
      </c>
      <c r="J326" s="5" t="str">
        <f t="shared" si="23"/>
        <v>高风险用户</v>
      </c>
    </row>
    <row r="327" spans="1:10" x14ac:dyDescent="0.3">
      <c r="A327" s="1">
        <v>45425</v>
      </c>
      <c r="B327" s="2">
        <v>4024.28</v>
      </c>
      <c r="C327" s="2">
        <v>4051.29</v>
      </c>
      <c r="D327" s="2">
        <v>4091.7</v>
      </c>
      <c r="E327" s="2">
        <v>4002.5</v>
      </c>
      <c r="F327" t="s">
        <v>330</v>
      </c>
      <c r="G327" s="3">
        <f t="shared" si="20"/>
        <v>-2.9288178112260806E-2</v>
      </c>
      <c r="H327">
        <f t="shared" si="21"/>
        <v>3928.585</v>
      </c>
      <c r="I327" s="3">
        <f t="shared" si="22"/>
        <v>1.6768823958580887E-2</v>
      </c>
      <c r="J327" s="5" t="str">
        <f t="shared" si="23"/>
        <v>高风险用户</v>
      </c>
    </row>
    <row r="328" spans="1:10" x14ac:dyDescent="0.3">
      <c r="A328" s="1">
        <v>45426</v>
      </c>
      <c r="B328" s="2">
        <v>4044.57</v>
      </c>
      <c r="C328" s="2">
        <v>3937.62</v>
      </c>
      <c r="D328" s="2">
        <v>4046.7</v>
      </c>
      <c r="E328" s="2">
        <v>3925.41</v>
      </c>
      <c r="F328" t="s">
        <v>331</v>
      </c>
      <c r="G328" s="3">
        <f t="shared" si="20"/>
        <v>5.0418956931426147E-3</v>
      </c>
      <c r="H328">
        <f t="shared" si="21"/>
        <v>3925.1699999999996</v>
      </c>
      <c r="I328" s="3">
        <f t="shared" si="22"/>
        <v>1.5626936483367028E-2</v>
      </c>
      <c r="J328" s="5" t="str">
        <f t="shared" si="23"/>
        <v>高风险用户</v>
      </c>
    </row>
    <row r="329" spans="1:10" x14ac:dyDescent="0.3">
      <c r="A329" s="1">
        <v>45427</v>
      </c>
      <c r="B329" s="2">
        <v>3944.76</v>
      </c>
      <c r="C329" s="2">
        <v>3897.71</v>
      </c>
      <c r="D329" s="2">
        <v>3944.76</v>
      </c>
      <c r="E329" s="2">
        <v>3891.21</v>
      </c>
      <c r="F329" t="s">
        <v>332</v>
      </c>
      <c r="G329" s="3">
        <f t="shared" si="20"/>
        <v>-2.4677530615120999E-2</v>
      </c>
      <c r="H329">
        <f t="shared" si="21"/>
        <v>3935.7464999999997</v>
      </c>
      <c r="I329" s="3">
        <f t="shared" si="22"/>
        <v>2.3196867318032506E-2</v>
      </c>
      <c r="J329" s="5" t="str">
        <f t="shared" si="23"/>
        <v>高风险用户</v>
      </c>
    </row>
    <row r="330" spans="1:10" x14ac:dyDescent="0.3">
      <c r="A330" s="1">
        <v>45428</v>
      </c>
      <c r="B330" s="2">
        <v>3890.02</v>
      </c>
      <c r="C330" s="2">
        <v>3882.46</v>
      </c>
      <c r="D330" s="2">
        <v>3933.22</v>
      </c>
      <c r="E330" s="2">
        <v>3879.96</v>
      </c>
      <c r="F330" t="s">
        <v>333</v>
      </c>
      <c r="G330" s="3">
        <f t="shared" si="20"/>
        <v>-1.3876636347965461E-2</v>
      </c>
      <c r="H330">
        <f t="shared" si="21"/>
        <v>3939.4010000000003</v>
      </c>
      <c r="I330" s="3">
        <f t="shared" si="22"/>
        <v>2.6031181060763738E-2</v>
      </c>
      <c r="J330" s="5" t="str">
        <f t="shared" si="23"/>
        <v>高风险用户</v>
      </c>
    </row>
    <row r="331" spans="1:10" x14ac:dyDescent="0.3">
      <c r="A331" s="1">
        <v>45429</v>
      </c>
      <c r="B331" s="2">
        <v>3891.04</v>
      </c>
      <c r="C331" s="2">
        <v>3888.42</v>
      </c>
      <c r="D331" s="2">
        <v>3923.9</v>
      </c>
      <c r="E331" s="2">
        <v>3859.11</v>
      </c>
      <c r="F331" t="s">
        <v>334</v>
      </c>
      <c r="G331" s="3">
        <f t="shared" si="20"/>
        <v>2.6220944879460305E-4</v>
      </c>
      <c r="H331">
        <f t="shared" si="21"/>
        <v>3930.0840000000003</v>
      </c>
      <c r="I331" s="3">
        <f t="shared" si="22"/>
        <v>3.1413009816925887E-2</v>
      </c>
      <c r="J331" s="5" t="str">
        <f t="shared" si="23"/>
        <v>高风险用户</v>
      </c>
    </row>
    <row r="332" spans="1:10" x14ac:dyDescent="0.3">
      <c r="A332" s="1">
        <v>45432</v>
      </c>
      <c r="B332" s="2">
        <v>3889.45</v>
      </c>
      <c r="C332" s="2">
        <v>3904.16</v>
      </c>
      <c r="D332" s="2">
        <v>3926.06</v>
      </c>
      <c r="E332" s="2">
        <v>3864.31</v>
      </c>
      <c r="F332" t="s">
        <v>335</v>
      </c>
      <c r="G332" s="3">
        <f t="shared" si="20"/>
        <v>-4.086311114766606E-4</v>
      </c>
      <c r="H332">
        <f t="shared" si="21"/>
        <v>3912.7980000000011</v>
      </c>
      <c r="I332" s="3">
        <f t="shared" si="22"/>
        <v>3.2698055841235765E-2</v>
      </c>
      <c r="J332" s="5" t="str">
        <f t="shared" si="23"/>
        <v>高风险用户</v>
      </c>
    </row>
    <row r="333" spans="1:10" x14ac:dyDescent="0.3">
      <c r="A333" s="1">
        <v>45433</v>
      </c>
      <c r="B333" s="2">
        <v>3924.65</v>
      </c>
      <c r="C333" s="2">
        <v>3970.01</v>
      </c>
      <c r="D333" s="2">
        <v>3991.31</v>
      </c>
      <c r="E333" s="2">
        <v>3921.58</v>
      </c>
      <c r="F333" t="s">
        <v>336</v>
      </c>
      <c r="G333" s="3">
        <f t="shared" si="20"/>
        <v>9.0501227680006881E-3</v>
      </c>
      <c r="H333">
        <f t="shared" si="21"/>
        <v>3888.4019999999996</v>
      </c>
      <c r="I333" s="3">
        <f t="shared" si="22"/>
        <v>3.3675407078735238E-2</v>
      </c>
      <c r="J333" s="5" t="str">
        <f t="shared" si="23"/>
        <v>高风险用户</v>
      </c>
    </row>
    <row r="334" spans="1:10" x14ac:dyDescent="0.3">
      <c r="A334" s="1">
        <v>45434</v>
      </c>
      <c r="B334" s="2">
        <v>3964.16</v>
      </c>
      <c r="C334" s="2">
        <v>3953.11</v>
      </c>
      <c r="D334" s="2">
        <v>3964.16</v>
      </c>
      <c r="E334" s="2">
        <v>3917.2</v>
      </c>
      <c r="F334" t="s">
        <v>337</v>
      </c>
      <c r="G334" s="3">
        <f t="shared" si="20"/>
        <v>1.0067139744945349E-2</v>
      </c>
      <c r="H334">
        <f t="shared" si="21"/>
        <v>3859.7650000000003</v>
      </c>
      <c r="I334" s="3">
        <f t="shared" si="22"/>
        <v>3.3528804672273746E-2</v>
      </c>
      <c r="J334" s="5" t="str">
        <f t="shared" si="23"/>
        <v>高风险用户</v>
      </c>
    </row>
    <row r="335" spans="1:10" x14ac:dyDescent="0.3">
      <c r="A335" s="1">
        <v>45435</v>
      </c>
      <c r="B335" s="2">
        <v>3956.42</v>
      </c>
      <c r="C335" s="2">
        <v>3931.32</v>
      </c>
      <c r="D335" s="2">
        <v>3992.89</v>
      </c>
      <c r="E335" s="2">
        <v>3921.94</v>
      </c>
      <c r="F335" t="s">
        <v>338</v>
      </c>
      <c r="G335" s="3">
        <f t="shared" si="20"/>
        <v>-1.9524943493703035E-3</v>
      </c>
      <c r="H335">
        <f t="shared" si="21"/>
        <v>3822.1949999999997</v>
      </c>
      <c r="I335" s="3">
        <f t="shared" si="22"/>
        <v>3.4099984390710929E-2</v>
      </c>
      <c r="J335" s="5" t="str">
        <f t="shared" si="23"/>
        <v>高风险用户</v>
      </c>
    </row>
    <row r="336" spans="1:10" x14ac:dyDescent="0.3">
      <c r="A336" s="1">
        <v>45436</v>
      </c>
      <c r="B336" s="2">
        <v>3928.83</v>
      </c>
      <c r="C336" s="2">
        <v>3950.9</v>
      </c>
      <c r="D336" s="2">
        <v>3957.98</v>
      </c>
      <c r="E336" s="2">
        <v>3914.09</v>
      </c>
      <c r="F336" t="s">
        <v>339</v>
      </c>
      <c r="G336" s="3">
        <f t="shared" si="20"/>
        <v>-6.9734760212515718E-3</v>
      </c>
      <c r="H336">
        <f t="shared" si="21"/>
        <v>3784.4265</v>
      </c>
      <c r="I336" s="3">
        <f t="shared" si="22"/>
        <v>3.4081324061564076E-2</v>
      </c>
      <c r="J336" s="5" t="str">
        <f t="shared" si="23"/>
        <v>高风险用户</v>
      </c>
    </row>
    <row r="337" spans="1:10" x14ac:dyDescent="0.3">
      <c r="A337" s="1">
        <v>45439</v>
      </c>
      <c r="B337" s="2">
        <v>3973.21</v>
      </c>
      <c r="C337" s="2">
        <v>3955.32</v>
      </c>
      <c r="D337" s="2">
        <v>4012.18</v>
      </c>
      <c r="E337" s="2">
        <v>3939.1</v>
      </c>
      <c r="F337" t="s">
        <v>340</v>
      </c>
      <c r="G337" s="3">
        <f t="shared" si="20"/>
        <v>1.1295983791612289E-2</v>
      </c>
      <c r="H337">
        <f t="shared" si="21"/>
        <v>3747.7869999999994</v>
      </c>
      <c r="I337" s="3">
        <f t="shared" si="22"/>
        <v>3.4127884114556722E-2</v>
      </c>
      <c r="J337" s="5" t="str">
        <f t="shared" si="23"/>
        <v>高风险用户</v>
      </c>
    </row>
    <row r="338" spans="1:10" x14ac:dyDescent="0.3">
      <c r="A338" s="1">
        <v>45440</v>
      </c>
      <c r="B338" s="2">
        <v>3957.78</v>
      </c>
      <c r="C338" s="2">
        <v>3923.74</v>
      </c>
      <c r="D338" s="2">
        <v>3965.91</v>
      </c>
      <c r="E338" s="2">
        <v>3917.52</v>
      </c>
      <c r="F338" t="s">
        <v>341</v>
      </c>
      <c r="G338" s="3">
        <f t="shared" si="20"/>
        <v>-3.8835098069318853E-3</v>
      </c>
      <c r="H338">
        <f t="shared" si="21"/>
        <v>3707.6769999999988</v>
      </c>
      <c r="I338" s="3">
        <f t="shared" si="22"/>
        <v>3.3774346977907641E-2</v>
      </c>
      <c r="J338" s="5" t="str">
        <f t="shared" si="23"/>
        <v>高风险用户</v>
      </c>
    </row>
    <row r="339" spans="1:10" x14ac:dyDescent="0.3">
      <c r="A339" s="1">
        <v>45441</v>
      </c>
      <c r="B339" s="2">
        <v>3935.2</v>
      </c>
      <c r="C339" s="2">
        <v>3946.9</v>
      </c>
      <c r="D339" s="2">
        <v>3979.26</v>
      </c>
      <c r="E339" s="2">
        <v>3896.17</v>
      </c>
      <c r="F339" t="s">
        <v>342</v>
      </c>
      <c r="G339" s="3">
        <f t="shared" si="20"/>
        <v>-5.7052185821345252E-3</v>
      </c>
      <c r="H339">
        <f t="shared" si="21"/>
        <v>3667.7504999999996</v>
      </c>
      <c r="I339" s="3">
        <f t="shared" si="22"/>
        <v>3.3776219077903666E-2</v>
      </c>
      <c r="J339" s="5" t="str">
        <f t="shared" si="23"/>
        <v>高风险用户</v>
      </c>
    </row>
    <row r="340" spans="1:10" x14ac:dyDescent="0.3">
      <c r="A340" s="1">
        <v>45442</v>
      </c>
      <c r="B340" s="2">
        <v>3925.23</v>
      </c>
      <c r="C340" s="2">
        <v>3780.31</v>
      </c>
      <c r="D340" s="2">
        <v>3998.21</v>
      </c>
      <c r="E340" s="2">
        <v>3765.16</v>
      </c>
      <c r="F340" t="s">
        <v>343</v>
      </c>
      <c r="G340" s="3">
        <f t="shared" si="20"/>
        <v>-2.5335434031306669E-3</v>
      </c>
      <c r="H340">
        <f t="shared" si="21"/>
        <v>3629.614</v>
      </c>
      <c r="I340" s="3">
        <f t="shared" si="22"/>
        <v>3.3924645627990524E-2</v>
      </c>
      <c r="J340" s="5" t="str">
        <f t="shared" si="23"/>
        <v>高风险用户</v>
      </c>
    </row>
    <row r="341" spans="1:10" x14ac:dyDescent="0.3">
      <c r="A341" s="1">
        <v>45443</v>
      </c>
      <c r="B341" s="2">
        <v>3788.22</v>
      </c>
      <c r="C341" s="2">
        <v>3853.84</v>
      </c>
      <c r="D341" s="2">
        <v>3882.07</v>
      </c>
      <c r="E341" s="2">
        <v>3787.75</v>
      </c>
      <c r="F341" t="s">
        <v>344</v>
      </c>
      <c r="G341" s="3">
        <f t="shared" si="20"/>
        <v>-3.4904960983178114E-2</v>
      </c>
      <c r="H341">
        <f t="shared" si="21"/>
        <v>3592.6590000000006</v>
      </c>
      <c r="I341" s="3">
        <f t="shared" si="22"/>
        <v>3.4039903306935328E-2</v>
      </c>
      <c r="J341" s="5" t="str">
        <f t="shared" si="23"/>
        <v>高风险用户</v>
      </c>
    </row>
    <row r="342" spans="1:10" x14ac:dyDescent="0.3">
      <c r="A342" s="1">
        <v>45446</v>
      </c>
      <c r="B342" s="2">
        <v>3831.59</v>
      </c>
      <c r="C342" s="2">
        <v>3806.14</v>
      </c>
      <c r="D342" s="2">
        <v>3877.75</v>
      </c>
      <c r="E342" s="2">
        <v>3805.09</v>
      </c>
      <c r="F342" t="s">
        <v>345</v>
      </c>
      <c r="G342" s="3">
        <f t="shared" si="20"/>
        <v>1.1448648705724681E-2</v>
      </c>
      <c r="H342">
        <f t="shared" si="21"/>
        <v>3563.0360000000001</v>
      </c>
      <c r="I342" s="3">
        <f t="shared" si="22"/>
        <v>3.3623000303983429E-2</v>
      </c>
      <c r="J342" s="5" t="str">
        <f t="shared" si="23"/>
        <v>高风险用户</v>
      </c>
    </row>
    <row r="343" spans="1:10" x14ac:dyDescent="0.3">
      <c r="A343" s="1">
        <v>45447</v>
      </c>
      <c r="B343" s="2">
        <v>3855.99</v>
      </c>
      <c r="C343" s="2">
        <v>3942.53</v>
      </c>
      <c r="D343" s="2">
        <v>3967.87</v>
      </c>
      <c r="E343" s="2">
        <v>3855.99</v>
      </c>
      <c r="F343" t="s">
        <v>346</v>
      </c>
      <c r="G343" s="3">
        <f t="shared" si="20"/>
        <v>6.3681134985736042E-3</v>
      </c>
      <c r="H343">
        <f t="shared" si="21"/>
        <v>3531.1040000000003</v>
      </c>
      <c r="I343" s="3">
        <f t="shared" si="22"/>
        <v>3.3361073930128146E-2</v>
      </c>
      <c r="J343" s="5" t="str">
        <f t="shared" si="23"/>
        <v>高风险用户</v>
      </c>
    </row>
    <row r="344" spans="1:10" x14ac:dyDescent="0.3">
      <c r="A344" s="1">
        <v>45448</v>
      </c>
      <c r="B344" s="2">
        <v>3961.34</v>
      </c>
      <c r="C344" s="2">
        <v>3915.22</v>
      </c>
      <c r="D344" s="2">
        <v>3979.54</v>
      </c>
      <c r="E344" s="2">
        <v>3868.78</v>
      </c>
      <c r="F344" t="s">
        <v>347</v>
      </c>
      <c r="G344" s="3">
        <f t="shared" si="20"/>
        <v>2.732112894483657E-2</v>
      </c>
      <c r="H344">
        <f t="shared" si="21"/>
        <v>3499.8720000000008</v>
      </c>
      <c r="I344" s="3">
        <f t="shared" si="22"/>
        <v>3.3517814772926438E-2</v>
      </c>
      <c r="J344" s="5" t="str">
        <f t="shared" si="23"/>
        <v>高风险用户</v>
      </c>
    </row>
    <row r="345" spans="1:10" x14ac:dyDescent="0.3">
      <c r="A345" s="1">
        <v>45449</v>
      </c>
      <c r="B345" s="2">
        <v>3887.17</v>
      </c>
      <c r="C345" s="2">
        <v>3969.76</v>
      </c>
      <c r="D345" s="2">
        <v>3978.24</v>
      </c>
      <c r="E345" s="2">
        <v>3847.12</v>
      </c>
      <c r="F345" t="s">
        <v>348</v>
      </c>
      <c r="G345" s="3">
        <f t="shared" si="20"/>
        <v>-1.8723462262769688E-2</v>
      </c>
      <c r="H345">
        <f t="shared" si="21"/>
        <v>3464.6930000000002</v>
      </c>
      <c r="I345" s="3">
        <f t="shared" si="22"/>
        <v>3.2711738389194625E-2</v>
      </c>
      <c r="J345" s="5" t="str">
        <f t="shared" si="23"/>
        <v>高风险用户</v>
      </c>
    </row>
    <row r="346" spans="1:10" x14ac:dyDescent="0.3">
      <c r="A346" s="1">
        <v>45450</v>
      </c>
      <c r="B346" s="2">
        <v>3997.79</v>
      </c>
      <c r="C346" s="2">
        <v>3979.61</v>
      </c>
      <c r="D346" s="2">
        <v>4098.5</v>
      </c>
      <c r="E346" s="2">
        <v>3912.77</v>
      </c>
      <c r="F346" t="s">
        <v>349</v>
      </c>
      <c r="G346" s="3">
        <f t="shared" si="20"/>
        <v>2.8457721169899926E-2</v>
      </c>
      <c r="H346">
        <f t="shared" si="21"/>
        <v>3432.9425000000001</v>
      </c>
      <c r="I346" s="3">
        <f t="shared" si="22"/>
        <v>3.2672643066762208E-2</v>
      </c>
      <c r="J346" s="5" t="str">
        <f t="shared" si="23"/>
        <v>高风险用户</v>
      </c>
    </row>
    <row r="347" spans="1:10" x14ac:dyDescent="0.3">
      <c r="A347" s="1">
        <v>45454</v>
      </c>
      <c r="B347" s="2">
        <v>3955.98</v>
      </c>
      <c r="C347" s="2">
        <v>4168.84</v>
      </c>
      <c r="D347" s="2">
        <v>4197.6000000000004</v>
      </c>
      <c r="E347" s="2">
        <v>3942.51</v>
      </c>
      <c r="F347" t="s">
        <v>350</v>
      </c>
      <c r="G347" s="3">
        <f t="shared" si="20"/>
        <v>-1.0458278198704771E-2</v>
      </c>
      <c r="H347">
        <f t="shared" si="21"/>
        <v>3396.7244999999994</v>
      </c>
      <c r="I347" s="3">
        <f t="shared" si="22"/>
        <v>3.1726325026821017E-2</v>
      </c>
      <c r="J347" s="5" t="str">
        <f t="shared" si="23"/>
        <v>高风险用户</v>
      </c>
    </row>
    <row r="348" spans="1:10" x14ac:dyDescent="0.3">
      <c r="A348" s="1">
        <v>45455</v>
      </c>
      <c r="B348" s="2">
        <v>4256.1000000000004</v>
      </c>
      <c r="C348" s="2">
        <v>4450.37</v>
      </c>
      <c r="D348" s="2">
        <v>4450.37</v>
      </c>
      <c r="E348" s="2">
        <v>4094.35</v>
      </c>
      <c r="F348" t="s">
        <v>351</v>
      </c>
      <c r="G348" s="3">
        <f t="shared" si="20"/>
        <v>7.5864893149105994E-2</v>
      </c>
      <c r="H348">
        <f t="shared" si="21"/>
        <v>3362.1760000000004</v>
      </c>
      <c r="I348" s="3">
        <f t="shared" si="22"/>
        <v>3.1762300420644041E-2</v>
      </c>
      <c r="J348" s="5" t="str">
        <f t="shared" si="23"/>
        <v>高风险用户</v>
      </c>
    </row>
    <row r="349" spans="1:10" x14ac:dyDescent="0.3">
      <c r="A349" s="1">
        <v>45456</v>
      </c>
      <c r="B349" s="2">
        <v>4017.85</v>
      </c>
      <c r="C349" s="2">
        <v>3846.65</v>
      </c>
      <c r="D349" s="2">
        <v>4038.7</v>
      </c>
      <c r="E349" s="2">
        <v>3796.5</v>
      </c>
      <c r="F349" t="s">
        <v>352</v>
      </c>
      <c r="G349" s="3">
        <f t="shared" si="20"/>
        <v>-5.5978477949296404E-2</v>
      </c>
      <c r="H349">
        <f t="shared" si="21"/>
        <v>3315.4424999999997</v>
      </c>
      <c r="I349" s="3">
        <f t="shared" si="22"/>
        <v>2.5625715782937337E-2</v>
      </c>
      <c r="J349" s="5" t="str">
        <f t="shared" si="23"/>
        <v>高风险用户</v>
      </c>
    </row>
    <row r="350" spans="1:10" x14ac:dyDescent="0.3">
      <c r="A350" s="1">
        <v>45457</v>
      </c>
      <c r="B350" s="2">
        <v>3703.68</v>
      </c>
      <c r="C350" s="2">
        <v>3617.92</v>
      </c>
      <c r="D350" s="2">
        <v>3708.5</v>
      </c>
      <c r="E350" s="2">
        <v>3596.58</v>
      </c>
      <c r="F350" t="s">
        <v>353</v>
      </c>
      <c r="G350" s="3">
        <f t="shared" si="20"/>
        <v>-7.8193561232997769E-2</v>
      </c>
      <c r="H350">
        <f t="shared" si="21"/>
        <v>3278.4340000000002</v>
      </c>
      <c r="I350" s="3">
        <f t="shared" si="22"/>
        <v>2.3454788020742343E-2</v>
      </c>
      <c r="J350" s="5" t="str">
        <f t="shared" si="23"/>
        <v>高风险用户</v>
      </c>
    </row>
    <row r="351" spans="1:10" x14ac:dyDescent="0.3">
      <c r="A351" s="1">
        <v>45460</v>
      </c>
      <c r="B351" s="2">
        <v>3545.32</v>
      </c>
      <c r="C351" s="2">
        <v>3399.32</v>
      </c>
      <c r="D351" s="2">
        <v>3545.32</v>
      </c>
      <c r="E351" s="2">
        <v>3391.68</v>
      </c>
      <c r="F351" t="s">
        <v>354</v>
      </c>
      <c r="G351" s="3">
        <f t="shared" si="20"/>
        <v>-4.2757473647831258E-2</v>
      </c>
      <c r="H351">
        <f t="shared" si="21"/>
        <v>3257.5749999999998</v>
      </c>
      <c r="I351" s="3">
        <f t="shared" si="22"/>
        <v>1.7187977799223934E-2</v>
      </c>
      <c r="J351" s="5" t="str">
        <f t="shared" si="23"/>
        <v>高风险用户</v>
      </c>
    </row>
    <row r="352" spans="1:10" x14ac:dyDescent="0.3">
      <c r="A352" s="1">
        <v>45461</v>
      </c>
      <c r="B352" s="2">
        <v>3401.53</v>
      </c>
      <c r="C352" s="2">
        <v>3403.7</v>
      </c>
      <c r="D352" s="2">
        <v>3465.49</v>
      </c>
      <c r="E352" s="2">
        <v>3393.44</v>
      </c>
      <c r="F352" t="s">
        <v>355</v>
      </c>
      <c r="G352" s="3">
        <f t="shared" si="20"/>
        <v>-4.055769295860457E-2</v>
      </c>
      <c r="H352">
        <f t="shared" si="21"/>
        <v>3245.5755000000004</v>
      </c>
      <c r="I352" s="3">
        <f t="shared" si="22"/>
        <v>1.4980712780495975E-2</v>
      </c>
      <c r="J352" s="5" t="str">
        <f t="shared" si="23"/>
        <v>高风险用户</v>
      </c>
    </row>
    <row r="353" spans="1:10" x14ac:dyDescent="0.3">
      <c r="A353" s="1">
        <v>45462</v>
      </c>
      <c r="B353" s="2">
        <v>3351.91</v>
      </c>
      <c r="C353" s="2">
        <v>3244.65</v>
      </c>
      <c r="D353" s="2">
        <v>3351.97</v>
      </c>
      <c r="E353" s="2">
        <v>3222.49</v>
      </c>
      <c r="F353" t="s">
        <v>356</v>
      </c>
      <c r="G353" s="3">
        <f t="shared" si="20"/>
        <v>-1.458755324809728E-2</v>
      </c>
      <c r="H353">
        <f t="shared" si="21"/>
        <v>3241.7100000000005</v>
      </c>
      <c r="I353" s="3">
        <f t="shared" si="22"/>
        <v>1.2265508146371923E-2</v>
      </c>
      <c r="J353" s="5" t="str">
        <f t="shared" si="23"/>
        <v>高风险用户</v>
      </c>
    </row>
    <row r="354" spans="1:10" x14ac:dyDescent="0.3">
      <c r="A354" s="1">
        <v>45463</v>
      </c>
      <c r="B354" s="2">
        <v>3212.76</v>
      </c>
      <c r="C354" s="2">
        <v>3200.87</v>
      </c>
      <c r="D354" s="2">
        <v>3230.16</v>
      </c>
      <c r="E354" s="2">
        <v>3198.02</v>
      </c>
      <c r="F354" t="s">
        <v>357</v>
      </c>
      <c r="G354" s="3">
        <f t="shared" si="20"/>
        <v>-4.1513644459427505E-2</v>
      </c>
      <c r="H354">
        <f t="shared" si="21"/>
        <v>3240.4740000000006</v>
      </c>
      <c r="I354" s="3">
        <f t="shared" si="22"/>
        <v>1.1849391116675264E-2</v>
      </c>
      <c r="J354" s="5" t="str">
        <f t="shared" si="23"/>
        <v>高风险用户</v>
      </c>
    </row>
    <row r="355" spans="1:10" x14ac:dyDescent="0.3">
      <c r="A355" s="1">
        <v>45464</v>
      </c>
      <c r="B355" s="2">
        <v>3201.05</v>
      </c>
      <c r="C355" s="2">
        <v>3192.43</v>
      </c>
      <c r="D355" s="2">
        <v>3207.99</v>
      </c>
      <c r="E355" s="2">
        <v>3173.22</v>
      </c>
      <c r="F355" t="s">
        <v>358</v>
      </c>
      <c r="G355" s="3">
        <f t="shared" si="20"/>
        <v>-3.6448411957320298E-3</v>
      </c>
      <c r="H355">
        <f t="shared" si="21"/>
        <v>3245.4929999999999</v>
      </c>
      <c r="I355" s="3">
        <f t="shared" si="22"/>
        <v>6.9403962882152934E-3</v>
      </c>
      <c r="J355" s="5" t="str">
        <f t="shared" si="23"/>
        <v>低风险用户</v>
      </c>
    </row>
    <row r="356" spans="1:10" x14ac:dyDescent="0.3">
      <c r="A356" s="1">
        <v>45467</v>
      </c>
      <c r="B356" s="2">
        <v>3196.04</v>
      </c>
      <c r="C356" s="2">
        <v>3178.4</v>
      </c>
      <c r="D356" s="2">
        <v>3213.84</v>
      </c>
      <c r="E356" s="2">
        <v>3149.79</v>
      </c>
      <c r="F356" t="s">
        <v>359</v>
      </c>
      <c r="G356" s="3">
        <f t="shared" si="20"/>
        <v>-1.5651114478062566E-3</v>
      </c>
      <c r="H356">
        <f t="shared" si="21"/>
        <v>3251.5225</v>
      </c>
      <c r="I356" s="3">
        <f t="shared" si="22"/>
        <v>6.8332641267356171E-3</v>
      </c>
      <c r="J356" s="5" t="str">
        <f t="shared" si="23"/>
        <v>低风险用户</v>
      </c>
    </row>
    <row r="357" spans="1:10" x14ac:dyDescent="0.3">
      <c r="A357" s="1">
        <v>45468</v>
      </c>
      <c r="B357" s="2">
        <v>3171.01</v>
      </c>
      <c r="C357" s="2">
        <v>3158.82</v>
      </c>
      <c r="D357" s="2">
        <v>3179.9</v>
      </c>
      <c r="E357" s="2">
        <v>3145.79</v>
      </c>
      <c r="F357" t="s">
        <v>360</v>
      </c>
      <c r="G357" s="3">
        <f t="shared" si="20"/>
        <v>-7.8315665636224038E-3</v>
      </c>
      <c r="H357">
        <f t="shared" si="21"/>
        <v>3258.3555000000001</v>
      </c>
      <c r="I357" s="3">
        <f t="shared" si="22"/>
        <v>6.7911764281798122E-3</v>
      </c>
      <c r="J357" s="5" t="str">
        <f t="shared" si="23"/>
        <v>低风险用户</v>
      </c>
    </row>
    <row r="358" spans="1:10" x14ac:dyDescent="0.3">
      <c r="A358" s="1">
        <v>45469</v>
      </c>
      <c r="B358" s="2">
        <v>3159.25</v>
      </c>
      <c r="C358" s="2">
        <v>3174.03</v>
      </c>
      <c r="D358" s="2">
        <v>3188.91</v>
      </c>
      <c r="E358" s="2">
        <v>3159.25</v>
      </c>
      <c r="F358" t="s">
        <v>361</v>
      </c>
      <c r="G358" s="3">
        <f t="shared" si="20"/>
        <v>-3.7085975761666527E-3</v>
      </c>
      <c r="H358">
        <f t="shared" si="21"/>
        <v>3267.6534999999999</v>
      </c>
      <c r="I358" s="3">
        <f t="shared" si="22"/>
        <v>6.4585716217670647E-3</v>
      </c>
      <c r="J358" s="5" t="str">
        <f t="shared" si="23"/>
        <v>低风险用户</v>
      </c>
    </row>
    <row r="359" spans="1:10" x14ac:dyDescent="0.3">
      <c r="A359" s="1">
        <v>45470</v>
      </c>
      <c r="B359" s="2">
        <v>3172.47</v>
      </c>
      <c r="C359" s="2">
        <v>3189.43</v>
      </c>
      <c r="D359" s="2">
        <v>3201.55</v>
      </c>
      <c r="E359" s="2">
        <v>3171.88</v>
      </c>
      <c r="F359" t="s">
        <v>362</v>
      </c>
      <c r="G359" s="3">
        <f t="shared" si="20"/>
        <v>4.1845374693360131E-3</v>
      </c>
      <c r="H359">
        <f t="shared" si="21"/>
        <v>3276.9725000000008</v>
      </c>
      <c r="I359" s="3">
        <f t="shared" si="22"/>
        <v>6.4412417552420767E-3</v>
      </c>
      <c r="J359" s="5" t="str">
        <f t="shared" si="23"/>
        <v>低风险用户</v>
      </c>
    </row>
    <row r="360" spans="1:10" x14ac:dyDescent="0.3">
      <c r="A360" s="1">
        <v>45471</v>
      </c>
      <c r="B360" s="2">
        <v>3186.13</v>
      </c>
      <c r="C360" s="2">
        <v>3187.05</v>
      </c>
      <c r="D360" s="2">
        <v>3197.34</v>
      </c>
      <c r="E360" s="2">
        <v>3174.03</v>
      </c>
      <c r="F360" t="s">
        <v>363</v>
      </c>
      <c r="G360" s="3">
        <f t="shared" si="20"/>
        <v>4.305793277793111E-3</v>
      </c>
      <c r="H360">
        <f t="shared" si="21"/>
        <v>3285.4465000000005</v>
      </c>
      <c r="I360" s="3">
        <f t="shared" si="22"/>
        <v>6.4935097074316417E-3</v>
      </c>
      <c r="J360" s="5" t="str">
        <f t="shared" si="23"/>
        <v>低风险用户</v>
      </c>
    </row>
    <row r="361" spans="1:10" x14ac:dyDescent="0.3">
      <c r="A361" s="1">
        <v>45474</v>
      </c>
      <c r="B361" s="2">
        <v>3195.76</v>
      </c>
      <c r="C361" s="2">
        <v>3193.46</v>
      </c>
      <c r="D361" s="2">
        <v>3205.1</v>
      </c>
      <c r="E361" s="2">
        <v>3171.79</v>
      </c>
      <c r="F361" t="s">
        <v>364</v>
      </c>
      <c r="G361" s="3">
        <f t="shared" si="20"/>
        <v>3.022475542429251E-3</v>
      </c>
      <c r="H361">
        <f t="shared" si="21"/>
        <v>3291.6019999999999</v>
      </c>
      <c r="I361" s="3">
        <f t="shared" si="22"/>
        <v>7.0430352483807496E-3</v>
      </c>
      <c r="J361" s="5" t="str">
        <f t="shared" si="23"/>
        <v>低风险用户</v>
      </c>
    </row>
    <row r="362" spans="1:10" x14ac:dyDescent="0.3">
      <c r="A362" s="1">
        <v>45475</v>
      </c>
      <c r="B362" s="2">
        <v>3192.95</v>
      </c>
      <c r="C362" s="2">
        <v>3214.8</v>
      </c>
      <c r="D362" s="2">
        <v>3222.93</v>
      </c>
      <c r="E362" s="2">
        <v>3180.93</v>
      </c>
      <c r="F362" t="s">
        <v>365</v>
      </c>
      <c r="G362" s="3">
        <f t="shared" si="20"/>
        <v>-8.7929005932873552E-4</v>
      </c>
      <c r="H362">
        <f t="shared" si="21"/>
        <v>3298.5335</v>
      </c>
      <c r="I362" s="3">
        <f t="shared" si="22"/>
        <v>7.1542142823902734E-3</v>
      </c>
      <c r="J362" s="5" t="str">
        <f t="shared" si="23"/>
        <v>低风险用户</v>
      </c>
    </row>
    <row r="363" spans="1:10" x14ac:dyDescent="0.3">
      <c r="A363" s="1">
        <v>45476</v>
      </c>
      <c r="B363" s="2">
        <v>3231.35</v>
      </c>
      <c r="C363" s="2">
        <v>3261.15</v>
      </c>
      <c r="D363" s="2">
        <v>3274.81</v>
      </c>
      <c r="E363" s="2">
        <v>3231.07</v>
      </c>
      <c r="F363" t="s">
        <v>366</v>
      </c>
      <c r="G363" s="3">
        <f t="shared" si="20"/>
        <v>1.2026495873721822E-2</v>
      </c>
      <c r="H363">
        <f t="shared" si="21"/>
        <v>3305.1789999999992</v>
      </c>
      <c r="I363" s="3">
        <f t="shared" si="22"/>
        <v>7.2013215254234722E-3</v>
      </c>
      <c r="J363" s="5" t="str">
        <f t="shared" si="23"/>
        <v>低风险用户</v>
      </c>
    </row>
    <row r="364" spans="1:10" x14ac:dyDescent="0.3">
      <c r="A364" s="1">
        <v>45477</v>
      </c>
      <c r="B364" s="2">
        <v>3257.76</v>
      </c>
      <c r="C364" s="2">
        <v>3252.96</v>
      </c>
      <c r="D364" s="2">
        <v>3266.88</v>
      </c>
      <c r="E364" s="2">
        <v>3247.17</v>
      </c>
      <c r="F364" t="s">
        <v>367</v>
      </c>
      <c r="G364" s="3">
        <f t="shared" si="20"/>
        <v>8.1730546056602692E-3</v>
      </c>
      <c r="H364">
        <f t="shared" si="21"/>
        <v>3310.1930000000002</v>
      </c>
      <c r="I364" s="3">
        <f t="shared" si="22"/>
        <v>6.8091283029008218E-3</v>
      </c>
      <c r="J364" s="5" t="str">
        <f t="shared" si="23"/>
        <v>低风险用户</v>
      </c>
    </row>
    <row r="365" spans="1:10" x14ac:dyDescent="0.3">
      <c r="A365" s="1">
        <v>45478</v>
      </c>
      <c r="B365" s="2">
        <v>3252.16</v>
      </c>
      <c r="C365" s="2">
        <v>3253.9</v>
      </c>
      <c r="D365" s="2">
        <v>3272.99</v>
      </c>
      <c r="E365" s="2">
        <v>3249.98</v>
      </c>
      <c r="F365" t="s">
        <v>368</v>
      </c>
      <c r="G365" s="3">
        <f t="shared" si="20"/>
        <v>-1.7189725455528839E-3</v>
      </c>
      <c r="H365">
        <f t="shared" si="21"/>
        <v>3314.4519999999998</v>
      </c>
      <c r="I365" s="3">
        <f t="shared" si="22"/>
        <v>6.6464427611813148E-3</v>
      </c>
      <c r="J365" s="5" t="str">
        <f t="shared" si="23"/>
        <v>低风险用户</v>
      </c>
    </row>
    <row r="366" spans="1:10" x14ac:dyDescent="0.3">
      <c r="A366" s="1">
        <v>45481</v>
      </c>
      <c r="B366" s="2">
        <v>3273.43</v>
      </c>
      <c r="C366" s="2">
        <v>3261.74</v>
      </c>
      <c r="D366" s="2">
        <v>3281.59</v>
      </c>
      <c r="E366" s="2">
        <v>3261.19</v>
      </c>
      <c r="F366" t="s">
        <v>369</v>
      </c>
      <c r="G366" s="3">
        <f t="shared" si="20"/>
        <v>6.5402686214700327E-3</v>
      </c>
      <c r="H366">
        <f t="shared" si="21"/>
        <v>3318.9184999999998</v>
      </c>
      <c r="I366" s="3">
        <f t="shared" si="22"/>
        <v>6.6217593262729068E-3</v>
      </c>
      <c r="J366" s="5" t="str">
        <f t="shared" si="23"/>
        <v>低风险用户</v>
      </c>
    </row>
    <row r="367" spans="1:10" x14ac:dyDescent="0.3">
      <c r="A367" s="1">
        <v>45482</v>
      </c>
      <c r="B367" s="2">
        <v>3265.01</v>
      </c>
      <c r="C367" s="2">
        <v>3307.54</v>
      </c>
      <c r="D367" s="2">
        <v>3307.76</v>
      </c>
      <c r="E367" s="2">
        <v>3264.76</v>
      </c>
      <c r="F367" t="s">
        <v>370</v>
      </c>
      <c r="G367" s="3">
        <f t="shared" si="20"/>
        <v>-2.5722254638100152E-3</v>
      </c>
      <c r="H367">
        <f t="shared" si="21"/>
        <v>3322.3959999999993</v>
      </c>
      <c r="I367" s="3">
        <f t="shared" si="22"/>
        <v>6.5109292116194038E-3</v>
      </c>
      <c r="J367" s="5" t="str">
        <f t="shared" si="23"/>
        <v>低风险用户</v>
      </c>
    </row>
    <row r="368" spans="1:10" x14ac:dyDescent="0.3">
      <c r="A368" s="1">
        <v>45483</v>
      </c>
      <c r="B368" s="2">
        <v>3321.43</v>
      </c>
      <c r="C368" s="2">
        <v>3273.75</v>
      </c>
      <c r="D368" s="2">
        <v>3351.63</v>
      </c>
      <c r="E368" s="2">
        <v>3273.65</v>
      </c>
      <c r="F368" t="s">
        <v>371</v>
      </c>
      <c r="G368" s="3">
        <f t="shared" si="20"/>
        <v>1.7280192097420717E-2</v>
      </c>
      <c r="H368">
        <f t="shared" si="21"/>
        <v>3326.3114999999998</v>
      </c>
      <c r="I368" s="3">
        <f t="shared" si="22"/>
        <v>6.4594119691791891E-3</v>
      </c>
      <c r="J368" s="5" t="str">
        <f t="shared" si="23"/>
        <v>低风险用户</v>
      </c>
    </row>
    <row r="369" spans="1:10" x14ac:dyDescent="0.3">
      <c r="A369" s="1">
        <v>45484</v>
      </c>
      <c r="B369" s="2">
        <v>3277.68</v>
      </c>
      <c r="C369" s="2">
        <v>3273.54</v>
      </c>
      <c r="D369" s="2">
        <v>3290.79</v>
      </c>
      <c r="E369" s="2">
        <v>3269.53</v>
      </c>
      <c r="F369" t="s">
        <v>372</v>
      </c>
      <c r="G369" s="3">
        <f t="shared" si="20"/>
        <v>-1.3172037345360283E-2</v>
      </c>
      <c r="H369">
        <f t="shared" si="21"/>
        <v>3329.4594999999999</v>
      </c>
      <c r="I369" s="3">
        <f t="shared" si="22"/>
        <v>5.8752404260571899E-3</v>
      </c>
      <c r="J369" s="5" t="str">
        <f t="shared" si="23"/>
        <v>低风险用户</v>
      </c>
    </row>
    <row r="370" spans="1:10" x14ac:dyDescent="0.3">
      <c r="A370" s="1">
        <v>45485</v>
      </c>
      <c r="B370" s="2">
        <v>3286.5</v>
      </c>
      <c r="C370" s="2">
        <v>3298.91</v>
      </c>
      <c r="D370" s="2">
        <v>3305.35</v>
      </c>
      <c r="E370" s="2">
        <v>3274.59</v>
      </c>
      <c r="F370" t="s">
        <v>373</v>
      </c>
      <c r="G370" s="3">
        <f t="shared" si="20"/>
        <v>2.6909277293696043E-3</v>
      </c>
      <c r="H370">
        <f t="shared" si="21"/>
        <v>3336.5389999999998</v>
      </c>
      <c r="I370" s="3">
        <f t="shared" si="22"/>
        <v>5.2119487276974224E-3</v>
      </c>
      <c r="J370" s="5" t="str">
        <f t="shared" si="23"/>
        <v>低风险用户</v>
      </c>
    </row>
    <row r="371" spans="1:10" x14ac:dyDescent="0.3">
      <c r="A371" s="1">
        <v>45488</v>
      </c>
      <c r="B371" s="2">
        <v>3305.33</v>
      </c>
      <c r="C371" s="2">
        <v>3315.69</v>
      </c>
      <c r="D371" s="2">
        <v>3320.57</v>
      </c>
      <c r="E371" s="2">
        <v>3299.56</v>
      </c>
      <c r="F371" t="s">
        <v>374</v>
      </c>
      <c r="G371" s="3">
        <f t="shared" si="20"/>
        <v>5.7294994675186148E-3</v>
      </c>
      <c r="H371">
        <f t="shared" si="21"/>
        <v>3344.3180000000002</v>
      </c>
      <c r="I371" s="3">
        <f t="shared" si="22"/>
        <v>5.3095765138131898E-3</v>
      </c>
      <c r="J371" s="5" t="str">
        <f t="shared" si="23"/>
        <v>低风险用户</v>
      </c>
    </row>
    <row r="372" spans="1:10" x14ac:dyDescent="0.3">
      <c r="A372" s="1">
        <v>45489</v>
      </c>
      <c r="B372" s="2">
        <v>3324.22</v>
      </c>
      <c r="C372" s="2">
        <v>3330.72</v>
      </c>
      <c r="D372" s="2">
        <v>3336.53</v>
      </c>
      <c r="E372" s="2">
        <v>3311.57</v>
      </c>
      <c r="F372" t="s">
        <v>375</v>
      </c>
      <c r="G372" s="3">
        <f t="shared" si="20"/>
        <v>5.715011814251489E-3</v>
      </c>
      <c r="H372">
        <f t="shared" si="21"/>
        <v>3347.5205000000001</v>
      </c>
      <c r="I372" s="3">
        <f t="shared" si="22"/>
        <v>7.3910076931913453E-3</v>
      </c>
      <c r="J372" s="5" t="str">
        <f t="shared" si="23"/>
        <v>低风险用户</v>
      </c>
    </row>
    <row r="373" spans="1:10" x14ac:dyDescent="0.3">
      <c r="A373" s="1">
        <v>45490</v>
      </c>
      <c r="B373" s="2">
        <v>3327.19</v>
      </c>
      <c r="C373" s="2">
        <v>3305.93</v>
      </c>
      <c r="D373" s="2">
        <v>3336.24</v>
      </c>
      <c r="E373" s="2">
        <v>3305.64</v>
      </c>
      <c r="F373" t="s">
        <v>376</v>
      </c>
      <c r="G373" s="3">
        <f t="shared" si="20"/>
        <v>8.9344267226605179E-4</v>
      </c>
      <c r="H373">
        <f t="shared" si="21"/>
        <v>3350.8464999999997</v>
      </c>
      <c r="I373" s="3">
        <f t="shared" si="22"/>
        <v>7.4133202507567142E-3</v>
      </c>
      <c r="J373" s="5" t="str">
        <f t="shared" si="23"/>
        <v>低风险用户</v>
      </c>
    </row>
    <row r="374" spans="1:10" x14ac:dyDescent="0.3">
      <c r="A374" s="1">
        <v>45491</v>
      </c>
      <c r="B374" s="2">
        <v>3313.14</v>
      </c>
      <c r="C374" s="2">
        <v>3322.87</v>
      </c>
      <c r="D374" s="2">
        <v>3327.7</v>
      </c>
      <c r="E374" s="2">
        <v>3305.25</v>
      </c>
      <c r="F374" t="s">
        <v>377</v>
      </c>
      <c r="G374" s="3">
        <f t="shared" si="20"/>
        <v>-4.2227825883103106E-3</v>
      </c>
      <c r="H374">
        <f t="shared" si="21"/>
        <v>3354.9514999999992</v>
      </c>
      <c r="I374" s="3">
        <f t="shared" si="22"/>
        <v>7.4796524960707581E-3</v>
      </c>
      <c r="J374" s="5" t="str">
        <f t="shared" si="23"/>
        <v>低风险用户</v>
      </c>
    </row>
    <row r="375" spans="1:10" x14ac:dyDescent="0.3">
      <c r="A375" s="1">
        <v>45492</v>
      </c>
      <c r="B375" s="2">
        <v>3321.64</v>
      </c>
      <c r="C375" s="2">
        <v>3322.91</v>
      </c>
      <c r="D375" s="2">
        <v>3339.44</v>
      </c>
      <c r="E375" s="2">
        <v>3307.99</v>
      </c>
      <c r="F375" t="s">
        <v>378</v>
      </c>
      <c r="G375" s="3">
        <f t="shared" si="20"/>
        <v>2.5655420537616883E-3</v>
      </c>
      <c r="H375">
        <f t="shared" si="21"/>
        <v>3359.2579999999994</v>
      </c>
      <c r="I375" s="3">
        <f t="shared" si="22"/>
        <v>7.4356278336553819E-3</v>
      </c>
      <c r="J375" s="5" t="str">
        <f t="shared" si="23"/>
        <v>低风险用户</v>
      </c>
    </row>
    <row r="376" spans="1:10" x14ac:dyDescent="0.3">
      <c r="A376" s="1">
        <v>45495</v>
      </c>
      <c r="B376" s="2">
        <v>3332.7</v>
      </c>
      <c r="C376" s="2">
        <v>3361.64</v>
      </c>
      <c r="D376" s="2">
        <v>3362.33</v>
      </c>
      <c r="E376" s="2">
        <v>3321.64</v>
      </c>
      <c r="F376" t="s">
        <v>379</v>
      </c>
      <c r="G376" s="3">
        <f t="shared" si="20"/>
        <v>3.3296805192615533E-3</v>
      </c>
      <c r="H376">
        <f t="shared" si="21"/>
        <v>3364.0844999999995</v>
      </c>
      <c r="I376" s="3">
        <f t="shared" si="22"/>
        <v>7.4921641897344694E-3</v>
      </c>
      <c r="J376" s="5" t="str">
        <f t="shared" si="23"/>
        <v>低风险用户</v>
      </c>
    </row>
    <row r="377" spans="1:10" x14ac:dyDescent="0.3">
      <c r="A377" s="1">
        <v>45496</v>
      </c>
      <c r="B377" s="2">
        <v>3356.97</v>
      </c>
      <c r="C377" s="2">
        <v>3344.26</v>
      </c>
      <c r="D377" s="2">
        <v>3375.96</v>
      </c>
      <c r="E377" s="2">
        <v>3343.71</v>
      </c>
      <c r="F377" t="s">
        <v>380</v>
      </c>
      <c r="G377" s="3">
        <f t="shared" si="20"/>
        <v>7.2823836528940452E-3</v>
      </c>
      <c r="H377">
        <f t="shared" si="21"/>
        <v>3369.4434999999999</v>
      </c>
      <c r="I377" s="3">
        <f t="shared" si="22"/>
        <v>7.561989703856198E-3</v>
      </c>
      <c r="J377" s="5" t="str">
        <f t="shared" si="23"/>
        <v>低风险用户</v>
      </c>
    </row>
    <row r="378" spans="1:10" x14ac:dyDescent="0.3">
      <c r="A378" s="1">
        <v>45497</v>
      </c>
      <c r="B378" s="2">
        <v>3345.63</v>
      </c>
      <c r="C378" s="2">
        <v>3342.03</v>
      </c>
      <c r="D378" s="2">
        <v>3356.91</v>
      </c>
      <c r="E378" s="2">
        <v>3335.62</v>
      </c>
      <c r="F378" t="s">
        <v>381</v>
      </c>
      <c r="G378" s="3">
        <f t="shared" si="20"/>
        <v>-3.3780462738718818E-3</v>
      </c>
      <c r="H378">
        <f t="shared" si="21"/>
        <v>3377.3409999999994</v>
      </c>
      <c r="I378" s="3">
        <f t="shared" si="22"/>
        <v>8.7417600678744278E-3</v>
      </c>
      <c r="J378" s="5" t="str">
        <f t="shared" si="23"/>
        <v>低风险用户</v>
      </c>
    </row>
    <row r="379" spans="1:10" x14ac:dyDescent="0.3">
      <c r="A379" s="1">
        <v>45498</v>
      </c>
      <c r="B379" s="2">
        <v>3341.95</v>
      </c>
      <c r="C379" s="2">
        <v>3301.45</v>
      </c>
      <c r="D379" s="2">
        <v>3356.76</v>
      </c>
      <c r="E379" s="2">
        <v>3297.97</v>
      </c>
      <c r="F379" t="s">
        <v>382</v>
      </c>
      <c r="G379" s="3">
        <f t="shared" si="20"/>
        <v>-1.0999423128081381E-3</v>
      </c>
      <c r="H379">
        <f t="shared" si="21"/>
        <v>3387.0104999999994</v>
      </c>
      <c r="I379" s="3">
        <f t="shared" si="22"/>
        <v>8.6889466900820674E-3</v>
      </c>
      <c r="J379" s="5" t="str">
        <f t="shared" si="23"/>
        <v>低风险用户</v>
      </c>
    </row>
    <row r="380" spans="1:10" x14ac:dyDescent="0.3">
      <c r="A380" s="1">
        <v>45499</v>
      </c>
      <c r="B380" s="2">
        <v>3309.24</v>
      </c>
      <c r="C380" s="2">
        <v>3332.79</v>
      </c>
      <c r="D380" s="2">
        <v>3332.79</v>
      </c>
      <c r="E380" s="2">
        <v>3309.1</v>
      </c>
      <c r="F380" t="s">
        <v>383</v>
      </c>
      <c r="G380" s="3">
        <f t="shared" si="20"/>
        <v>-9.7876987986056166E-3</v>
      </c>
      <c r="H380">
        <f t="shared" si="21"/>
        <v>3395.9594999999986</v>
      </c>
      <c r="I380" s="3">
        <f t="shared" si="22"/>
        <v>8.8300769291197127E-3</v>
      </c>
      <c r="J380" s="5" t="str">
        <f t="shared" si="23"/>
        <v>低风险用户</v>
      </c>
    </row>
    <row r="381" spans="1:10" x14ac:dyDescent="0.3">
      <c r="A381" s="1">
        <v>45502</v>
      </c>
      <c r="B381" s="2">
        <v>3334.39</v>
      </c>
      <c r="C381" s="2">
        <v>3328.01</v>
      </c>
      <c r="D381" s="2">
        <v>3335.01</v>
      </c>
      <c r="E381" s="2">
        <v>3310.19</v>
      </c>
      <c r="F381" t="s">
        <v>384</v>
      </c>
      <c r="G381" s="3">
        <f t="shared" si="20"/>
        <v>7.5999323107420712E-3</v>
      </c>
      <c r="H381">
        <f t="shared" si="21"/>
        <v>3405.5764999999992</v>
      </c>
      <c r="I381" s="3">
        <f t="shared" si="22"/>
        <v>8.5599390639975806E-3</v>
      </c>
      <c r="J381" s="5" t="str">
        <f t="shared" si="23"/>
        <v>低风险用户</v>
      </c>
    </row>
    <row r="382" spans="1:10" x14ac:dyDescent="0.3">
      <c r="A382" s="1">
        <v>45503</v>
      </c>
      <c r="B382" s="2">
        <v>3325.86</v>
      </c>
      <c r="C382" s="2">
        <v>3327.56</v>
      </c>
      <c r="D382" s="2">
        <v>3338.08</v>
      </c>
      <c r="E382" s="2">
        <v>3319.89</v>
      </c>
      <c r="F382" t="s">
        <v>385</v>
      </c>
      <c r="G382" s="3">
        <f t="shared" si="20"/>
        <v>-2.5581890540697836E-3</v>
      </c>
      <c r="H382">
        <f t="shared" si="21"/>
        <v>3413.7709999999993</v>
      </c>
      <c r="I382" s="3">
        <f t="shared" si="22"/>
        <v>8.5242166117663869E-3</v>
      </c>
      <c r="J382" s="5" t="str">
        <f t="shared" si="23"/>
        <v>低风险用户</v>
      </c>
    </row>
    <row r="383" spans="1:10" x14ac:dyDescent="0.3">
      <c r="A383" s="1">
        <v>45504</v>
      </c>
      <c r="B383" s="2">
        <v>3331.63</v>
      </c>
      <c r="C383" s="2">
        <v>3358.13</v>
      </c>
      <c r="D383" s="2">
        <v>3366.67</v>
      </c>
      <c r="E383" s="2">
        <v>3331.63</v>
      </c>
      <c r="F383" t="s">
        <v>386</v>
      </c>
      <c r="G383" s="3">
        <f t="shared" si="20"/>
        <v>1.734889622533715E-3</v>
      </c>
      <c r="H383">
        <f t="shared" si="21"/>
        <v>3421.2905000000001</v>
      </c>
      <c r="I383" s="3">
        <f t="shared" si="22"/>
        <v>8.6791270613520086E-3</v>
      </c>
      <c r="J383" s="5" t="str">
        <f t="shared" si="23"/>
        <v>低风险用户</v>
      </c>
    </row>
    <row r="384" spans="1:10" x14ac:dyDescent="0.3">
      <c r="A384" s="1">
        <v>45505</v>
      </c>
      <c r="B384" s="2">
        <v>3342.94</v>
      </c>
      <c r="C384" s="2">
        <v>3332.43</v>
      </c>
      <c r="D384" s="2">
        <v>3364.79</v>
      </c>
      <c r="E384" s="2">
        <v>3320.84</v>
      </c>
      <c r="F384" t="s">
        <v>387</v>
      </c>
      <c r="G384" s="3">
        <f t="shared" si="20"/>
        <v>3.3947347094365056E-3</v>
      </c>
      <c r="H384">
        <f t="shared" si="21"/>
        <v>3428.3289999999993</v>
      </c>
      <c r="I384" s="3">
        <f t="shared" si="22"/>
        <v>8.7112105836021445E-3</v>
      </c>
      <c r="J384" s="5" t="str">
        <f t="shared" si="23"/>
        <v>低风险用户</v>
      </c>
    </row>
    <row r="385" spans="1:10" x14ac:dyDescent="0.3">
      <c r="A385" s="1">
        <v>45506</v>
      </c>
      <c r="B385" s="2">
        <v>3341.49</v>
      </c>
      <c r="C385" s="2">
        <v>3338.59</v>
      </c>
      <c r="D385" s="2">
        <v>3362.38</v>
      </c>
      <c r="E385" s="2">
        <v>3329.97</v>
      </c>
      <c r="F385" t="s">
        <v>388</v>
      </c>
      <c r="G385" s="3">
        <f t="shared" si="20"/>
        <v>-4.3374993269405755E-4</v>
      </c>
      <c r="H385">
        <f t="shared" si="21"/>
        <v>3434.5904999999998</v>
      </c>
      <c r="I385" s="3">
        <f t="shared" si="22"/>
        <v>8.7363637028718966E-3</v>
      </c>
      <c r="J385" s="5" t="str">
        <f t="shared" si="23"/>
        <v>低风险用户</v>
      </c>
    </row>
    <row r="386" spans="1:10" x14ac:dyDescent="0.3">
      <c r="A386" s="1">
        <v>45509</v>
      </c>
      <c r="B386" s="2">
        <v>3342.98</v>
      </c>
      <c r="C386" s="2">
        <v>3367.35</v>
      </c>
      <c r="D386" s="2">
        <v>3376.8</v>
      </c>
      <c r="E386" s="2">
        <v>3318.63</v>
      </c>
      <c r="F386" t="s">
        <v>389</v>
      </c>
      <c r="G386" s="3">
        <f t="shared" si="20"/>
        <v>4.4590886101716199E-4</v>
      </c>
      <c r="H386">
        <f t="shared" si="21"/>
        <v>3438.9644999999996</v>
      </c>
      <c r="I386" s="3">
        <f t="shared" si="22"/>
        <v>9.2127266288831739E-3</v>
      </c>
      <c r="J386" s="5" t="str">
        <f t="shared" si="23"/>
        <v>低风险用户</v>
      </c>
    </row>
    <row r="387" spans="1:10" x14ac:dyDescent="0.3">
      <c r="A387" s="1">
        <v>45510</v>
      </c>
      <c r="B387" s="2">
        <v>3343.32</v>
      </c>
      <c r="C387" s="2">
        <v>3362.11</v>
      </c>
      <c r="D387" s="2">
        <v>3409.03</v>
      </c>
      <c r="E387" s="2">
        <v>3343.32</v>
      </c>
      <c r="F387" t="s">
        <v>390</v>
      </c>
      <c r="G387" s="3">
        <f t="shared" ref="G387:G450" si="24">IFERROR((B387-B386)/B386,"")</f>
        <v>1.0170566380898047E-4</v>
      </c>
      <c r="H387">
        <f t="shared" ref="H387:H450" si="25">AVERAGE(B387:B406)</f>
        <v>3443.8059999999996</v>
      </c>
      <c r="I387" s="3">
        <f t="shared" ref="I387:I450" si="26">IFERROR(STDEV(G387:G406),"")</f>
        <v>9.2189670157022518E-3</v>
      </c>
      <c r="J387" s="5" t="str">
        <f t="shared" ref="J387:J450" si="27">IF(ROW()&lt;22,"未知",IF(I387&gt;AVERAGE(I:I),"高风险用户","低风险用户"))</f>
        <v>低风险用户</v>
      </c>
    </row>
    <row r="388" spans="1:10" x14ac:dyDescent="0.3">
      <c r="A388" s="1">
        <v>45511</v>
      </c>
      <c r="B388" s="2">
        <v>3384.39</v>
      </c>
      <c r="C388" s="2">
        <v>3393.92</v>
      </c>
      <c r="D388" s="2">
        <v>3419.1</v>
      </c>
      <c r="E388" s="2">
        <v>3380.96</v>
      </c>
      <c r="F388" t="s">
        <v>391</v>
      </c>
      <c r="G388" s="3">
        <f t="shared" si="24"/>
        <v>1.2284196547144667E-2</v>
      </c>
      <c r="H388">
        <f t="shared" si="25"/>
        <v>3446.7280000000001</v>
      </c>
      <c r="I388" s="3">
        <f t="shared" si="26"/>
        <v>9.6346860368497975E-3</v>
      </c>
      <c r="J388" s="5" t="str">
        <f t="shared" si="27"/>
        <v>高风险用户</v>
      </c>
    </row>
    <row r="389" spans="1:10" x14ac:dyDescent="0.3">
      <c r="A389" s="1">
        <v>45512</v>
      </c>
      <c r="B389" s="2">
        <v>3419.27</v>
      </c>
      <c r="C389" s="2">
        <v>3443.14</v>
      </c>
      <c r="D389" s="2">
        <v>3448.34</v>
      </c>
      <c r="E389" s="2">
        <v>3419.19</v>
      </c>
      <c r="F389" t="s">
        <v>392</v>
      </c>
      <c r="G389" s="3">
        <f t="shared" si="24"/>
        <v>1.0306140840742382E-2</v>
      </c>
      <c r="H389">
        <f t="shared" si="25"/>
        <v>3449.0614999999998</v>
      </c>
      <c r="I389" s="3">
        <f t="shared" si="26"/>
        <v>9.4396029306630432E-3</v>
      </c>
      <c r="J389" s="5" t="str">
        <f t="shared" si="27"/>
        <v>低风险用户</v>
      </c>
    </row>
    <row r="390" spans="1:10" x14ac:dyDescent="0.3">
      <c r="A390" s="1">
        <v>45513</v>
      </c>
      <c r="B390" s="2">
        <v>3442.08</v>
      </c>
      <c r="C390" s="2">
        <v>3364.03</v>
      </c>
      <c r="D390" s="2">
        <v>3445</v>
      </c>
      <c r="E390" s="2">
        <v>3364.03</v>
      </c>
      <c r="F390" t="s">
        <v>393</v>
      </c>
      <c r="G390" s="3">
        <f t="shared" si="24"/>
        <v>6.6710145732860951E-3</v>
      </c>
      <c r="H390">
        <f t="shared" si="25"/>
        <v>3450.3885</v>
      </c>
      <c r="I390" s="3">
        <f t="shared" si="26"/>
        <v>9.2115915893697664E-3</v>
      </c>
      <c r="J390" s="5" t="str">
        <f t="shared" si="27"/>
        <v>低风险用户</v>
      </c>
    </row>
    <row r="391" spans="1:10" x14ac:dyDescent="0.3">
      <c r="A391" s="1">
        <v>45516</v>
      </c>
      <c r="B391" s="2">
        <v>3369.38</v>
      </c>
      <c r="C391" s="2">
        <v>3380.69</v>
      </c>
      <c r="D391" s="2">
        <v>3380.69</v>
      </c>
      <c r="E391" s="2">
        <v>3352.8</v>
      </c>
      <c r="F391" t="s">
        <v>394</v>
      </c>
      <c r="G391" s="3">
        <f t="shared" si="24"/>
        <v>-2.1120950123181281E-2</v>
      </c>
      <c r="H391">
        <f t="shared" si="25"/>
        <v>3451.4550000000004</v>
      </c>
      <c r="I391" s="3">
        <f t="shared" si="26"/>
        <v>9.162318608103185E-3</v>
      </c>
      <c r="J391" s="5" t="str">
        <f t="shared" si="27"/>
        <v>低风险用户</v>
      </c>
    </row>
    <row r="392" spans="1:10" x14ac:dyDescent="0.3">
      <c r="A392" s="1">
        <v>45517</v>
      </c>
      <c r="B392" s="2">
        <v>3390.74</v>
      </c>
      <c r="C392" s="2">
        <v>3404.37</v>
      </c>
      <c r="D392" s="2">
        <v>3408.5</v>
      </c>
      <c r="E392" s="2">
        <v>3388.84</v>
      </c>
      <c r="F392" t="s">
        <v>201</v>
      </c>
      <c r="G392" s="3">
        <f t="shared" si="24"/>
        <v>6.3394452391833727E-3</v>
      </c>
      <c r="H392">
        <f t="shared" si="25"/>
        <v>3456.575499999999</v>
      </c>
      <c r="I392" s="3">
        <f t="shared" si="26"/>
        <v>7.6455769916447354E-3</v>
      </c>
      <c r="J392" s="5" t="str">
        <f t="shared" si="27"/>
        <v>低风险用户</v>
      </c>
    </row>
    <row r="393" spans="1:10" x14ac:dyDescent="0.3">
      <c r="A393" s="1">
        <v>45518</v>
      </c>
      <c r="B393" s="2">
        <v>3409.29</v>
      </c>
      <c r="C393" s="2">
        <v>3403.71</v>
      </c>
      <c r="D393" s="2">
        <v>3420.82</v>
      </c>
      <c r="E393" s="2">
        <v>3388.66</v>
      </c>
      <c r="F393" t="s">
        <v>395</v>
      </c>
      <c r="G393" s="3">
        <f t="shared" si="24"/>
        <v>5.4707821891387077E-3</v>
      </c>
      <c r="H393">
        <f t="shared" si="25"/>
        <v>3460.9474999999993</v>
      </c>
      <c r="I393" s="3">
        <f t="shared" si="26"/>
        <v>7.5622279145319531E-3</v>
      </c>
      <c r="J393" s="5" t="str">
        <f t="shared" si="27"/>
        <v>低风险用户</v>
      </c>
    </row>
    <row r="394" spans="1:10" x14ac:dyDescent="0.3">
      <c r="A394" s="1">
        <v>45519</v>
      </c>
      <c r="B394" s="2">
        <v>3399.27</v>
      </c>
      <c r="C394" s="2">
        <v>3404.61</v>
      </c>
      <c r="D394" s="2">
        <v>3415.86</v>
      </c>
      <c r="E394" s="2">
        <v>3383.8</v>
      </c>
      <c r="F394" t="s">
        <v>396</v>
      </c>
      <c r="G394" s="3">
        <f t="shared" si="24"/>
        <v>-2.9390283607437272E-3</v>
      </c>
      <c r="H394">
        <f t="shared" si="25"/>
        <v>3463.5659999999998</v>
      </c>
      <c r="I394" s="3">
        <f t="shared" si="26"/>
        <v>7.6107845418814258E-3</v>
      </c>
      <c r="J394" s="5" t="str">
        <f t="shared" si="27"/>
        <v>低风险用户</v>
      </c>
    </row>
    <row r="395" spans="1:10" x14ac:dyDescent="0.3">
      <c r="A395" s="1">
        <v>45520</v>
      </c>
      <c r="B395" s="2">
        <v>3418.17</v>
      </c>
      <c r="C395" s="2">
        <v>3432.35</v>
      </c>
      <c r="D395" s="2">
        <v>3451.42</v>
      </c>
      <c r="E395" s="2">
        <v>3408.41</v>
      </c>
      <c r="F395" t="s">
        <v>397</v>
      </c>
      <c r="G395" s="3">
        <f t="shared" si="24"/>
        <v>5.56001729783162E-3</v>
      </c>
      <c r="H395">
        <f t="shared" si="25"/>
        <v>3466.3085000000001</v>
      </c>
      <c r="I395" s="3">
        <f t="shared" si="26"/>
        <v>7.5930447169805602E-3</v>
      </c>
      <c r="J395" s="5" t="str">
        <f t="shared" si="27"/>
        <v>低风险用户</v>
      </c>
    </row>
    <row r="396" spans="1:10" x14ac:dyDescent="0.3">
      <c r="A396" s="1">
        <v>45523</v>
      </c>
      <c r="B396" s="2">
        <v>3439.88</v>
      </c>
      <c r="C396" s="2">
        <v>3509.79</v>
      </c>
      <c r="D396" s="2">
        <v>3509.79</v>
      </c>
      <c r="E396" s="2">
        <v>3439.88</v>
      </c>
      <c r="F396" t="s">
        <v>398</v>
      </c>
      <c r="G396" s="3">
        <f t="shared" si="24"/>
        <v>6.3513517466948794E-3</v>
      </c>
      <c r="H396">
        <f t="shared" si="25"/>
        <v>3469.4129999999996</v>
      </c>
      <c r="I396" s="3">
        <f t="shared" si="26"/>
        <v>7.6717646614550342E-3</v>
      </c>
      <c r="J396" s="5" t="str">
        <f t="shared" si="27"/>
        <v>低风险用户</v>
      </c>
    </row>
    <row r="397" spans="1:10" x14ac:dyDescent="0.3">
      <c r="A397" s="1">
        <v>45524</v>
      </c>
      <c r="B397" s="2">
        <v>3514.92</v>
      </c>
      <c r="C397" s="2">
        <v>3538.4</v>
      </c>
      <c r="D397" s="2">
        <v>3540.19</v>
      </c>
      <c r="E397" s="2">
        <v>3494.01</v>
      </c>
      <c r="F397" t="s">
        <v>399</v>
      </c>
      <c r="G397" s="3">
        <f t="shared" si="24"/>
        <v>2.1814714466783715E-2</v>
      </c>
      <c r="H397">
        <f t="shared" si="25"/>
        <v>3470.3139999999999</v>
      </c>
      <c r="I397" s="3">
        <f t="shared" si="26"/>
        <v>7.7281487734350163E-3</v>
      </c>
      <c r="J397" s="5" t="str">
        <f t="shared" si="27"/>
        <v>低风险用户</v>
      </c>
    </row>
    <row r="398" spans="1:10" x14ac:dyDescent="0.3">
      <c r="A398" s="1">
        <v>45525</v>
      </c>
      <c r="B398" s="2">
        <v>3539.02</v>
      </c>
      <c r="C398" s="2">
        <v>3500.81</v>
      </c>
      <c r="D398" s="2">
        <v>3545.34</v>
      </c>
      <c r="E398" s="2">
        <v>3493.07</v>
      </c>
      <c r="F398" t="s">
        <v>400</v>
      </c>
      <c r="G398" s="3">
        <f t="shared" si="24"/>
        <v>6.8564860651166761E-3</v>
      </c>
      <c r="H398">
        <f t="shared" si="25"/>
        <v>3468.4085</v>
      </c>
      <c r="I398" s="3">
        <f t="shared" si="26"/>
        <v>6.0039063090658656E-3</v>
      </c>
      <c r="J398" s="5" t="str">
        <f t="shared" si="27"/>
        <v>低风险用户</v>
      </c>
    </row>
    <row r="399" spans="1:10" x14ac:dyDescent="0.3">
      <c r="A399" s="1">
        <v>45526</v>
      </c>
      <c r="B399" s="2">
        <v>3520.93</v>
      </c>
      <c r="C399" s="2">
        <v>3483.3</v>
      </c>
      <c r="D399" s="2">
        <v>3522.8</v>
      </c>
      <c r="E399" s="2">
        <v>3475.72</v>
      </c>
      <c r="F399" t="s">
        <v>401</v>
      </c>
      <c r="G399" s="3">
        <f t="shared" si="24"/>
        <v>-5.1115845629581486E-3</v>
      </c>
      <c r="H399">
        <f t="shared" si="25"/>
        <v>3466.2385000000004</v>
      </c>
      <c r="I399" s="3">
        <f t="shared" si="26"/>
        <v>5.9183822917107977E-3</v>
      </c>
      <c r="J399" s="5" t="str">
        <f t="shared" si="27"/>
        <v>低风险用户</v>
      </c>
    </row>
    <row r="400" spans="1:10" x14ac:dyDescent="0.3">
      <c r="A400" s="1">
        <v>45527</v>
      </c>
      <c r="B400" s="2">
        <v>3501.58</v>
      </c>
      <c r="C400" s="2">
        <v>3494.21</v>
      </c>
      <c r="D400" s="2">
        <v>3514.48</v>
      </c>
      <c r="E400" s="2">
        <v>3486.22</v>
      </c>
      <c r="F400" t="s">
        <v>402</v>
      </c>
      <c r="G400" s="3">
        <f t="shared" si="24"/>
        <v>-5.4957071001127287E-3</v>
      </c>
      <c r="H400">
        <f t="shared" si="25"/>
        <v>3465.3560000000007</v>
      </c>
      <c r="I400" s="3">
        <f t="shared" si="26"/>
        <v>5.8502795042676787E-3</v>
      </c>
      <c r="J400" s="5" t="str">
        <f t="shared" si="27"/>
        <v>低风险用户</v>
      </c>
    </row>
    <row r="401" spans="1:10" x14ac:dyDescent="0.3">
      <c r="A401" s="1">
        <v>45530</v>
      </c>
      <c r="B401" s="2">
        <v>3498.28</v>
      </c>
      <c r="C401" s="2">
        <v>3466.85</v>
      </c>
      <c r="D401" s="2">
        <v>3500.29</v>
      </c>
      <c r="E401" s="2">
        <v>3464.37</v>
      </c>
      <c r="F401" t="s">
        <v>403</v>
      </c>
      <c r="G401" s="3">
        <f t="shared" si="24"/>
        <v>-9.4243170226004469E-4</v>
      </c>
      <c r="H401">
        <f t="shared" si="25"/>
        <v>3466.7145000000005</v>
      </c>
      <c r="I401" s="3">
        <f t="shared" si="26"/>
        <v>5.9418005323540529E-3</v>
      </c>
      <c r="J401" s="5" t="str">
        <f t="shared" si="27"/>
        <v>低风险用户</v>
      </c>
    </row>
    <row r="402" spans="1:10" x14ac:dyDescent="0.3">
      <c r="A402" s="1">
        <v>45531</v>
      </c>
      <c r="B402" s="2">
        <v>3476.25</v>
      </c>
      <c r="C402" s="2">
        <v>3462.61</v>
      </c>
      <c r="D402" s="2">
        <v>3481.46</v>
      </c>
      <c r="E402" s="2">
        <v>3460.79</v>
      </c>
      <c r="F402" t="s">
        <v>404</v>
      </c>
      <c r="G402" s="3">
        <f t="shared" si="24"/>
        <v>-6.297380426952731E-3</v>
      </c>
      <c r="H402">
        <f t="shared" si="25"/>
        <v>3469.0800000000004</v>
      </c>
      <c r="I402" s="3">
        <f t="shared" si="26"/>
        <v>6.010683622128284E-3</v>
      </c>
      <c r="J402" s="5" t="str">
        <f t="shared" si="27"/>
        <v>低风险用户</v>
      </c>
    </row>
    <row r="403" spans="1:10" x14ac:dyDescent="0.3">
      <c r="A403" s="1">
        <v>45532</v>
      </c>
      <c r="B403" s="2">
        <v>3472.4</v>
      </c>
      <c r="C403" s="2">
        <v>3459.96</v>
      </c>
      <c r="D403" s="2">
        <v>3479.1</v>
      </c>
      <c r="E403" s="2">
        <v>3457.36</v>
      </c>
      <c r="F403" t="s">
        <v>405</v>
      </c>
      <c r="G403" s="3">
        <f t="shared" si="24"/>
        <v>-1.1075152822725377E-3</v>
      </c>
      <c r="H403">
        <f t="shared" si="25"/>
        <v>3472.0775000000003</v>
      </c>
      <c r="I403" s="3">
        <f t="shared" si="26"/>
        <v>5.84042247855532E-3</v>
      </c>
      <c r="J403" s="5" t="str">
        <f t="shared" si="27"/>
        <v>低风险用户</v>
      </c>
    </row>
    <row r="404" spans="1:10" x14ac:dyDescent="0.3">
      <c r="A404" s="1">
        <v>45533</v>
      </c>
      <c r="B404" s="2">
        <v>3468.17</v>
      </c>
      <c r="C404" s="2">
        <v>3451.04</v>
      </c>
      <c r="D404" s="2">
        <v>3473.98</v>
      </c>
      <c r="E404" s="2">
        <v>3438.12</v>
      </c>
      <c r="F404" t="s">
        <v>406</v>
      </c>
      <c r="G404" s="3">
        <f t="shared" si="24"/>
        <v>-1.2181776293053847E-3</v>
      </c>
      <c r="H404">
        <f t="shared" si="25"/>
        <v>3475.5340000000006</v>
      </c>
      <c r="I404" s="3">
        <f t="shared" si="26"/>
        <v>5.8230298326091851E-3</v>
      </c>
      <c r="J404" s="5" t="str">
        <f t="shared" si="27"/>
        <v>低风险用户</v>
      </c>
    </row>
    <row r="405" spans="1:10" x14ac:dyDescent="0.3">
      <c r="A405" s="1">
        <v>45534</v>
      </c>
      <c r="B405" s="2">
        <v>3428.97</v>
      </c>
      <c r="C405" s="2">
        <v>3425.88</v>
      </c>
      <c r="D405" s="2">
        <v>3447.5</v>
      </c>
      <c r="E405" s="2">
        <v>3423.65</v>
      </c>
      <c r="F405" t="s">
        <v>407</v>
      </c>
      <c r="G405" s="3">
        <f t="shared" si="24"/>
        <v>-1.1302790808985797E-2</v>
      </c>
      <c r="H405">
        <f t="shared" si="25"/>
        <v>3478.4319999999998</v>
      </c>
      <c r="I405" s="3">
        <f t="shared" si="26"/>
        <v>5.9269910735892124E-3</v>
      </c>
      <c r="J405" s="5" t="str">
        <f t="shared" si="27"/>
        <v>低风险用户</v>
      </c>
    </row>
    <row r="406" spans="1:10" x14ac:dyDescent="0.3">
      <c r="A406" s="1">
        <v>45537</v>
      </c>
      <c r="B406" s="2">
        <v>3439.81</v>
      </c>
      <c r="C406" s="2">
        <v>3396.8</v>
      </c>
      <c r="D406" s="2">
        <v>3448.93</v>
      </c>
      <c r="E406" s="2">
        <v>3384.81</v>
      </c>
      <c r="F406" t="s">
        <v>408</v>
      </c>
      <c r="G406" s="3">
        <f t="shared" si="24"/>
        <v>3.1612991656387039E-3</v>
      </c>
      <c r="H406">
        <f t="shared" si="25"/>
        <v>3484.1894999999995</v>
      </c>
      <c r="I406" s="3">
        <f t="shared" si="26"/>
        <v>5.2542071330914132E-3</v>
      </c>
      <c r="J406" s="5" t="str">
        <f t="shared" si="27"/>
        <v>低风险用户</v>
      </c>
    </row>
    <row r="407" spans="1:10" x14ac:dyDescent="0.3">
      <c r="A407" s="1">
        <v>45538</v>
      </c>
      <c r="B407" s="2">
        <v>3401.76</v>
      </c>
      <c r="C407" s="2">
        <v>3420.8</v>
      </c>
      <c r="D407" s="2">
        <v>3428.04</v>
      </c>
      <c r="E407" s="2">
        <v>3395.91</v>
      </c>
      <c r="F407" t="s">
        <v>409</v>
      </c>
      <c r="G407" s="3">
        <f t="shared" si="24"/>
        <v>-1.1061657475267449E-2</v>
      </c>
      <c r="H407">
        <f t="shared" si="25"/>
        <v>3489.3429999999998</v>
      </c>
      <c r="I407" s="3">
        <f t="shared" si="26"/>
        <v>5.2602707544616226E-3</v>
      </c>
      <c r="J407" s="5" t="str">
        <f t="shared" si="27"/>
        <v>低风险用户</v>
      </c>
    </row>
    <row r="408" spans="1:10" x14ac:dyDescent="0.3">
      <c r="A408" s="1">
        <v>45539</v>
      </c>
      <c r="B408" s="2">
        <v>3431.06</v>
      </c>
      <c r="C408" s="2">
        <v>3443.36</v>
      </c>
      <c r="D408" s="2">
        <v>3451.04</v>
      </c>
      <c r="E408" s="2">
        <v>3399.67</v>
      </c>
      <c r="F408" t="s">
        <v>410</v>
      </c>
      <c r="G408" s="3">
        <f t="shared" si="24"/>
        <v>8.613188467146338E-3</v>
      </c>
      <c r="H408">
        <f t="shared" si="25"/>
        <v>3497.9605000000001</v>
      </c>
      <c r="I408" s="3">
        <f t="shared" si="26"/>
        <v>4.6002116455131055E-3</v>
      </c>
      <c r="J408" s="5" t="str">
        <f t="shared" si="27"/>
        <v>低风险用户</v>
      </c>
    </row>
    <row r="409" spans="1:10" x14ac:dyDescent="0.3">
      <c r="A409" s="1">
        <v>45540</v>
      </c>
      <c r="B409" s="2">
        <v>3445.81</v>
      </c>
      <c r="C409" s="2">
        <v>3468.3</v>
      </c>
      <c r="D409" s="2">
        <v>3483.31</v>
      </c>
      <c r="E409" s="2">
        <v>3444.93</v>
      </c>
      <c r="F409" t="s">
        <v>411</v>
      </c>
      <c r="G409" s="3">
        <f t="shared" si="24"/>
        <v>4.2989630026872162E-3</v>
      </c>
      <c r="H409">
        <f t="shared" si="25"/>
        <v>3506.0199999999991</v>
      </c>
      <c r="I409" s="3">
        <f t="shared" si="26"/>
        <v>4.4164845390991993E-3</v>
      </c>
      <c r="J409" s="5" t="str">
        <f t="shared" si="27"/>
        <v>低风险用户</v>
      </c>
    </row>
    <row r="410" spans="1:10" x14ac:dyDescent="0.3">
      <c r="A410" s="1">
        <v>45541</v>
      </c>
      <c r="B410" s="2">
        <v>3463.41</v>
      </c>
      <c r="C410" s="2">
        <v>3471.56</v>
      </c>
      <c r="D410" s="2">
        <v>3478.7</v>
      </c>
      <c r="E410" s="2">
        <v>3454.99</v>
      </c>
      <c r="F410" t="s">
        <v>412</v>
      </c>
      <c r="G410" s="3">
        <f t="shared" si="24"/>
        <v>5.1076524822900593E-3</v>
      </c>
      <c r="H410">
        <f t="shared" si="25"/>
        <v>3513.4689999999996</v>
      </c>
      <c r="I410" s="3">
        <f t="shared" si="26"/>
        <v>4.4042490496431419E-3</v>
      </c>
      <c r="J410" s="5" t="str">
        <f t="shared" si="27"/>
        <v>低风险用户</v>
      </c>
    </row>
    <row r="411" spans="1:10" x14ac:dyDescent="0.3">
      <c r="A411" s="1">
        <v>45544</v>
      </c>
      <c r="B411" s="2">
        <v>3471.79</v>
      </c>
      <c r="C411" s="2">
        <v>3472.45</v>
      </c>
      <c r="D411" s="2">
        <v>3488.32</v>
      </c>
      <c r="E411" s="2">
        <v>3464.52</v>
      </c>
      <c r="F411" t="s">
        <v>413</v>
      </c>
      <c r="G411" s="3">
        <f t="shared" si="24"/>
        <v>2.4195807022559007E-3</v>
      </c>
      <c r="H411">
        <f t="shared" si="25"/>
        <v>3521.0819999999999</v>
      </c>
      <c r="I411" s="3">
        <f t="shared" si="26"/>
        <v>4.4319035137747858E-3</v>
      </c>
      <c r="J411" s="5" t="str">
        <f t="shared" si="27"/>
        <v>低风险用户</v>
      </c>
    </row>
    <row r="412" spans="1:10" x14ac:dyDescent="0.3">
      <c r="A412" s="1">
        <v>45545</v>
      </c>
      <c r="B412" s="2">
        <v>3478.18</v>
      </c>
      <c r="C412" s="2">
        <v>3458.26</v>
      </c>
      <c r="D412" s="2">
        <v>3479.95</v>
      </c>
      <c r="E412" s="2">
        <v>3443.81</v>
      </c>
      <c r="F412" t="s">
        <v>414</v>
      </c>
      <c r="G412" s="3">
        <f t="shared" si="24"/>
        <v>1.8405491115533695E-3</v>
      </c>
      <c r="H412">
        <f t="shared" si="25"/>
        <v>3526.9299999999994</v>
      </c>
      <c r="I412" s="3">
        <f t="shared" si="26"/>
        <v>4.9235149278938576E-3</v>
      </c>
      <c r="J412" s="5" t="str">
        <f t="shared" si="27"/>
        <v>低风险用户</v>
      </c>
    </row>
    <row r="413" spans="1:10" x14ac:dyDescent="0.3">
      <c r="A413" s="1">
        <v>45546</v>
      </c>
      <c r="B413" s="2">
        <v>3461.66</v>
      </c>
      <c r="C413" s="2">
        <v>3443.67</v>
      </c>
      <c r="D413" s="2">
        <v>3484.68</v>
      </c>
      <c r="E413" s="2">
        <v>3443.67</v>
      </c>
      <c r="F413" t="s">
        <v>415</v>
      </c>
      <c r="G413" s="3">
        <f t="shared" si="24"/>
        <v>-4.7496104284424565E-3</v>
      </c>
      <c r="H413">
        <f t="shared" si="25"/>
        <v>3532.0169999999989</v>
      </c>
      <c r="I413" s="3">
        <f t="shared" si="26"/>
        <v>5.008844691077291E-3</v>
      </c>
      <c r="J413" s="5" t="str">
        <f t="shared" si="27"/>
        <v>低风险用户</v>
      </c>
    </row>
    <row r="414" spans="1:10" x14ac:dyDescent="0.3">
      <c r="A414" s="1">
        <v>45547</v>
      </c>
      <c r="B414" s="2">
        <v>3454.12</v>
      </c>
      <c r="C414" s="2">
        <v>3467.29</v>
      </c>
      <c r="D414" s="2">
        <v>3471.14</v>
      </c>
      <c r="E414" s="2">
        <v>3452.58</v>
      </c>
      <c r="F414" t="s">
        <v>416</v>
      </c>
      <c r="G414" s="3">
        <f t="shared" si="24"/>
        <v>-2.1781457451049394E-3</v>
      </c>
      <c r="H414">
        <f t="shared" si="25"/>
        <v>3538.6494999999995</v>
      </c>
      <c r="I414" s="3">
        <f t="shared" si="26"/>
        <v>4.8173245768835847E-3</v>
      </c>
      <c r="J414" s="5" t="str">
        <f t="shared" si="27"/>
        <v>低风险用户</v>
      </c>
    </row>
    <row r="415" spans="1:10" x14ac:dyDescent="0.3">
      <c r="A415" s="1">
        <v>45548</v>
      </c>
      <c r="B415" s="2">
        <v>3480.26</v>
      </c>
      <c r="C415" s="2">
        <v>3451.54</v>
      </c>
      <c r="D415" s="2">
        <v>3487.4</v>
      </c>
      <c r="E415" s="2">
        <v>3442.3</v>
      </c>
      <c r="F415" t="s">
        <v>417</v>
      </c>
      <c r="G415" s="3">
        <f t="shared" si="24"/>
        <v>7.5677741363937351E-3</v>
      </c>
      <c r="H415">
        <f t="shared" si="25"/>
        <v>3546.6194999999998</v>
      </c>
      <c r="I415" s="3">
        <f t="shared" si="26"/>
        <v>4.7762324052812851E-3</v>
      </c>
      <c r="J415" s="5" t="str">
        <f t="shared" si="27"/>
        <v>低风险用户</v>
      </c>
    </row>
    <row r="416" spans="1:10" x14ac:dyDescent="0.3">
      <c r="A416" s="1">
        <v>45553</v>
      </c>
      <c r="B416" s="2">
        <v>3457.9</v>
      </c>
      <c r="C416" s="2">
        <v>3475.16</v>
      </c>
      <c r="D416" s="2">
        <v>3483.22</v>
      </c>
      <c r="E416" s="2">
        <v>3440.65</v>
      </c>
      <c r="F416" t="s">
        <v>418</v>
      </c>
      <c r="G416" s="3">
        <f t="shared" si="24"/>
        <v>-6.4248073419802335E-3</v>
      </c>
      <c r="H416">
        <f t="shared" si="25"/>
        <v>3553.0649999999996</v>
      </c>
      <c r="I416" s="3">
        <f t="shared" si="26"/>
        <v>4.6655167061038123E-3</v>
      </c>
      <c r="J416" s="5" t="str">
        <f t="shared" si="27"/>
        <v>低风险用户</v>
      </c>
    </row>
    <row r="417" spans="1:10" x14ac:dyDescent="0.3">
      <c r="A417" s="1">
        <v>45554</v>
      </c>
      <c r="B417" s="2">
        <v>3476.81</v>
      </c>
      <c r="C417" s="2">
        <v>3473.64</v>
      </c>
      <c r="D417" s="2">
        <v>3505.78</v>
      </c>
      <c r="E417" s="2">
        <v>3471.22</v>
      </c>
      <c r="F417" t="s">
        <v>419</v>
      </c>
      <c r="G417" s="3">
        <f t="shared" si="24"/>
        <v>5.4686370340379575E-3</v>
      </c>
      <c r="H417">
        <f t="shared" si="25"/>
        <v>3561.9555</v>
      </c>
      <c r="I417" s="3">
        <f t="shared" si="26"/>
        <v>4.3915841996948219E-3</v>
      </c>
      <c r="J417" s="5" t="str">
        <f t="shared" si="27"/>
        <v>低风险用户</v>
      </c>
    </row>
    <row r="418" spans="1:10" x14ac:dyDescent="0.3">
      <c r="A418" s="1">
        <v>45555</v>
      </c>
      <c r="B418" s="2">
        <v>3495.62</v>
      </c>
      <c r="C418" s="2">
        <v>3496.34</v>
      </c>
      <c r="D418" s="2">
        <v>3505.51</v>
      </c>
      <c r="E418" s="2">
        <v>3473.83</v>
      </c>
      <c r="F418" t="s">
        <v>420</v>
      </c>
      <c r="G418" s="3">
        <f t="shared" si="24"/>
        <v>5.4101317011858415E-3</v>
      </c>
      <c r="H418">
        <f t="shared" si="25"/>
        <v>3568.1889999999994</v>
      </c>
      <c r="I418" s="3">
        <f t="shared" si="26"/>
        <v>5.0736166511418683E-3</v>
      </c>
      <c r="J418" s="5" t="str">
        <f t="shared" si="27"/>
        <v>低风险用户</v>
      </c>
    </row>
    <row r="419" spans="1:10" x14ac:dyDescent="0.3">
      <c r="A419" s="1">
        <v>45558</v>
      </c>
      <c r="B419" s="2">
        <v>3503.28</v>
      </c>
      <c r="C419" s="2">
        <v>3525.17</v>
      </c>
      <c r="D419" s="2">
        <v>3533.99</v>
      </c>
      <c r="E419" s="2">
        <v>3500.13</v>
      </c>
      <c r="F419" t="s">
        <v>421</v>
      </c>
      <c r="G419" s="3">
        <f t="shared" si="24"/>
        <v>2.1913137011460942E-3</v>
      </c>
      <c r="H419">
        <f t="shared" si="25"/>
        <v>3575.497499999999</v>
      </c>
      <c r="I419" s="3">
        <f t="shared" si="26"/>
        <v>5.4429701738457894E-3</v>
      </c>
      <c r="J419" s="5" t="str">
        <f t="shared" si="27"/>
        <v>低风险用户</v>
      </c>
    </row>
    <row r="420" spans="1:10" x14ac:dyDescent="0.3">
      <c r="A420" s="1">
        <v>45559</v>
      </c>
      <c r="B420" s="2">
        <v>3528.75</v>
      </c>
      <c r="C420" s="2">
        <v>3543.36</v>
      </c>
      <c r="D420" s="2">
        <v>3543.36</v>
      </c>
      <c r="E420" s="2">
        <v>3524.84</v>
      </c>
      <c r="F420" t="s">
        <v>422</v>
      </c>
      <c r="G420" s="3">
        <f t="shared" si="24"/>
        <v>7.2703295197642775E-3</v>
      </c>
      <c r="H420">
        <f t="shared" si="25"/>
        <v>3584.5559999999991</v>
      </c>
      <c r="I420" s="3">
        <f t="shared" si="26"/>
        <v>5.855531099245961E-3</v>
      </c>
      <c r="J420" s="5" t="str">
        <f t="shared" si="27"/>
        <v>低风险用户</v>
      </c>
    </row>
    <row r="421" spans="1:10" x14ac:dyDescent="0.3">
      <c r="A421" s="1">
        <v>45560</v>
      </c>
      <c r="B421" s="2">
        <v>3545.59</v>
      </c>
      <c r="C421" s="2">
        <v>3533.49</v>
      </c>
      <c r="D421" s="2">
        <v>3551.71</v>
      </c>
      <c r="E421" s="2">
        <v>3532.78</v>
      </c>
      <c r="F421" t="s">
        <v>423</v>
      </c>
      <c r="G421" s="3">
        <f t="shared" si="24"/>
        <v>4.7722281261070197E-3</v>
      </c>
      <c r="H421">
        <f t="shared" si="25"/>
        <v>3591.9265</v>
      </c>
      <c r="I421" s="3">
        <f t="shared" si="26"/>
        <v>5.8377353753186227E-3</v>
      </c>
      <c r="J421" s="5" t="str">
        <f t="shared" si="27"/>
        <v>低风险用户</v>
      </c>
    </row>
    <row r="422" spans="1:10" x14ac:dyDescent="0.3">
      <c r="A422" s="1">
        <v>45561</v>
      </c>
      <c r="B422" s="2">
        <v>3536.2</v>
      </c>
      <c r="C422" s="2">
        <v>3521.44</v>
      </c>
      <c r="D422" s="2">
        <v>3540.79</v>
      </c>
      <c r="E422" s="2">
        <v>3520.74</v>
      </c>
      <c r="F422" t="s">
        <v>424</v>
      </c>
      <c r="G422" s="3">
        <f t="shared" si="24"/>
        <v>-2.6483603575146383E-3</v>
      </c>
      <c r="H422">
        <f t="shared" si="25"/>
        <v>3599.1949999999997</v>
      </c>
      <c r="I422" s="3">
        <f t="shared" si="26"/>
        <v>5.8218805015574039E-3</v>
      </c>
      <c r="J422" s="5" t="str">
        <f t="shared" si="27"/>
        <v>低风险用户</v>
      </c>
    </row>
    <row r="423" spans="1:10" x14ac:dyDescent="0.3">
      <c r="A423" s="1">
        <v>45562</v>
      </c>
      <c r="B423" s="2">
        <v>3541.53</v>
      </c>
      <c r="C423" s="2">
        <v>3514.8</v>
      </c>
      <c r="D423" s="2">
        <v>3547.15</v>
      </c>
      <c r="E423" s="2">
        <v>3503.52</v>
      </c>
      <c r="F423" t="s">
        <v>425</v>
      </c>
      <c r="G423" s="3">
        <f t="shared" si="24"/>
        <v>1.5072676884792665E-3</v>
      </c>
      <c r="H423">
        <f t="shared" si="25"/>
        <v>3606.2835</v>
      </c>
      <c r="I423" s="3">
        <f t="shared" si="26"/>
        <v>5.8618195144682543E-3</v>
      </c>
      <c r="J423" s="5" t="str">
        <f t="shared" si="27"/>
        <v>低风险用户</v>
      </c>
    </row>
    <row r="424" spans="1:10" x14ac:dyDescent="0.3">
      <c r="A424" s="1">
        <v>45565</v>
      </c>
      <c r="B424" s="2">
        <v>3526.13</v>
      </c>
      <c r="C424" s="2">
        <v>3548.22</v>
      </c>
      <c r="D424" s="2">
        <v>3551.08</v>
      </c>
      <c r="E424" s="2">
        <v>3520.18</v>
      </c>
      <c r="F424" t="s">
        <v>426</v>
      </c>
      <c r="G424" s="3">
        <f t="shared" si="24"/>
        <v>-4.3484030913193139E-3</v>
      </c>
      <c r="H424">
        <f t="shared" si="25"/>
        <v>3611.2249999999995</v>
      </c>
      <c r="I424" s="3">
        <f t="shared" si="26"/>
        <v>6.4678022001775021E-3</v>
      </c>
      <c r="J424" s="5" t="str">
        <f t="shared" si="27"/>
        <v>低风险用户</v>
      </c>
    </row>
    <row r="425" spans="1:10" x14ac:dyDescent="0.3">
      <c r="A425" s="1">
        <v>45573</v>
      </c>
      <c r="B425" s="2">
        <v>3544.12</v>
      </c>
      <c r="C425" s="2">
        <v>3539.09</v>
      </c>
      <c r="D425" s="2">
        <v>3551.17</v>
      </c>
      <c r="E425" s="2">
        <v>3531.57</v>
      </c>
      <c r="F425" t="s">
        <v>427</v>
      </c>
      <c r="G425" s="3">
        <f t="shared" si="24"/>
        <v>5.101910593199848E-3</v>
      </c>
      <c r="H425">
        <f t="shared" si="25"/>
        <v>3616.2214999999997</v>
      </c>
      <c r="I425" s="3">
        <f t="shared" si="26"/>
        <v>6.4488103041024127E-3</v>
      </c>
      <c r="J425" s="5" t="str">
        <f t="shared" si="27"/>
        <v>低风险用户</v>
      </c>
    </row>
    <row r="426" spans="1:10" x14ac:dyDescent="0.3">
      <c r="A426" s="1">
        <v>45574</v>
      </c>
      <c r="B426" s="2">
        <v>3542.88</v>
      </c>
      <c r="C426" s="2">
        <v>3555.82</v>
      </c>
      <c r="D426" s="2">
        <v>3565.31</v>
      </c>
      <c r="E426" s="2">
        <v>3525.89</v>
      </c>
      <c r="F426" t="s">
        <v>428</v>
      </c>
      <c r="G426" s="3">
        <f t="shared" si="24"/>
        <v>-3.4987528638978979E-4</v>
      </c>
      <c r="H426">
        <f t="shared" si="25"/>
        <v>3621.8679999999999</v>
      </c>
      <c r="I426" s="3">
        <f t="shared" si="26"/>
        <v>6.5966757214014418E-3</v>
      </c>
      <c r="J426" s="5" t="str">
        <f t="shared" si="27"/>
        <v>低风险用户</v>
      </c>
    </row>
    <row r="427" spans="1:10" x14ac:dyDescent="0.3">
      <c r="A427" s="1">
        <v>45575</v>
      </c>
      <c r="B427" s="2">
        <v>3574.11</v>
      </c>
      <c r="C427" s="2">
        <v>3594.63</v>
      </c>
      <c r="D427" s="2">
        <v>3603.07</v>
      </c>
      <c r="E427" s="2">
        <v>3552.09</v>
      </c>
      <c r="F427" t="s">
        <v>429</v>
      </c>
      <c r="G427" s="3">
        <f t="shared" si="24"/>
        <v>8.8148624847581673E-3</v>
      </c>
      <c r="H427">
        <f t="shared" si="25"/>
        <v>3627.9584999999997</v>
      </c>
      <c r="I427" s="3">
        <f t="shared" si="26"/>
        <v>6.5814488414456564E-3</v>
      </c>
      <c r="J427" s="5" t="str">
        <f t="shared" si="27"/>
        <v>低风险用户</v>
      </c>
    </row>
    <row r="428" spans="1:10" x14ac:dyDescent="0.3">
      <c r="A428" s="1">
        <v>45576</v>
      </c>
      <c r="B428" s="2">
        <v>3592.25</v>
      </c>
      <c r="C428" s="2">
        <v>3602.16</v>
      </c>
      <c r="D428" s="2">
        <v>3625.01</v>
      </c>
      <c r="E428" s="2">
        <v>3584.17</v>
      </c>
      <c r="F428" t="s">
        <v>430</v>
      </c>
      <c r="G428" s="3">
        <f t="shared" si="24"/>
        <v>5.0753893976402155E-3</v>
      </c>
      <c r="H428">
        <f t="shared" si="25"/>
        <v>3632.567</v>
      </c>
      <c r="I428" s="3">
        <f t="shared" si="26"/>
        <v>6.3687885537572269E-3</v>
      </c>
      <c r="J428" s="5" t="str">
        <f t="shared" si="27"/>
        <v>低风险用户</v>
      </c>
    </row>
    <row r="429" spans="1:10" x14ac:dyDescent="0.3">
      <c r="A429" s="1">
        <v>45579</v>
      </c>
      <c r="B429" s="2">
        <v>3594.79</v>
      </c>
      <c r="C429" s="2">
        <v>3610.36</v>
      </c>
      <c r="D429" s="2">
        <v>3623.32</v>
      </c>
      <c r="E429" s="2">
        <v>3594.11</v>
      </c>
      <c r="F429" t="s">
        <v>431</v>
      </c>
      <c r="G429" s="3">
        <f t="shared" si="24"/>
        <v>7.0707773679447804E-4</v>
      </c>
      <c r="H429">
        <f t="shared" si="25"/>
        <v>3636.1824999999999</v>
      </c>
      <c r="I429" s="3">
        <f t="shared" si="26"/>
        <v>6.3159403335093702E-3</v>
      </c>
      <c r="J429" s="5" t="str">
        <f t="shared" si="27"/>
        <v>低风险用户</v>
      </c>
    </row>
    <row r="430" spans="1:10" x14ac:dyDescent="0.3">
      <c r="A430" s="1">
        <v>45580</v>
      </c>
      <c r="B430" s="2">
        <v>3615.67</v>
      </c>
      <c r="C430" s="2">
        <v>3583.81</v>
      </c>
      <c r="D430" s="2">
        <v>3622.5</v>
      </c>
      <c r="E430" s="2">
        <v>3580.28</v>
      </c>
      <c r="F430" t="s">
        <v>432</v>
      </c>
      <c r="G430" s="3">
        <f t="shared" si="24"/>
        <v>5.8084060543175291E-3</v>
      </c>
      <c r="H430">
        <f t="shared" si="25"/>
        <v>3637.9540000000002</v>
      </c>
      <c r="I430" s="3">
        <f t="shared" si="26"/>
        <v>6.7303000241528627E-3</v>
      </c>
      <c r="J430" s="5" t="str">
        <f t="shared" si="27"/>
        <v>低风险用户</v>
      </c>
    </row>
    <row r="431" spans="1:10" x14ac:dyDescent="0.3">
      <c r="A431" s="1">
        <v>45581</v>
      </c>
      <c r="B431" s="2">
        <v>3588.75</v>
      </c>
      <c r="C431" s="2">
        <v>3577.38</v>
      </c>
      <c r="D431" s="2">
        <v>3600.6</v>
      </c>
      <c r="E431" s="2">
        <v>3567.87</v>
      </c>
      <c r="F431" t="s">
        <v>433</v>
      </c>
      <c r="G431" s="3">
        <f t="shared" si="24"/>
        <v>-7.445369737835608E-3</v>
      </c>
      <c r="H431">
        <f t="shared" si="25"/>
        <v>3640.1209999999992</v>
      </c>
      <c r="I431" s="3">
        <f t="shared" si="26"/>
        <v>6.8341288293166371E-3</v>
      </c>
      <c r="J431" s="5" t="str">
        <f t="shared" si="27"/>
        <v>低风险用户</v>
      </c>
    </row>
    <row r="432" spans="1:10" x14ac:dyDescent="0.3">
      <c r="A432" s="1">
        <v>45582</v>
      </c>
      <c r="B432" s="2">
        <v>3579.92</v>
      </c>
      <c r="C432" s="2">
        <v>3599.82</v>
      </c>
      <c r="D432" s="2">
        <v>3614.64</v>
      </c>
      <c r="E432" s="2">
        <v>3579.92</v>
      </c>
      <c r="F432" t="s">
        <v>434</v>
      </c>
      <c r="G432" s="3">
        <f t="shared" si="24"/>
        <v>-2.460466736328785E-3</v>
      </c>
      <c r="H432">
        <f t="shared" si="25"/>
        <v>3643.5775000000003</v>
      </c>
      <c r="I432" s="3">
        <f t="shared" si="26"/>
        <v>6.5722455688608118E-3</v>
      </c>
      <c r="J432" s="5" t="str">
        <f t="shared" si="27"/>
        <v>低风险用户</v>
      </c>
    </row>
    <row r="433" spans="1:10" x14ac:dyDescent="0.3">
      <c r="A433" s="1">
        <v>45583</v>
      </c>
      <c r="B433" s="2">
        <v>3594.31</v>
      </c>
      <c r="C433" s="2">
        <v>3607.05</v>
      </c>
      <c r="D433" s="2">
        <v>3624.04</v>
      </c>
      <c r="E433" s="2">
        <v>3586.75</v>
      </c>
      <c r="F433" t="s">
        <v>435</v>
      </c>
      <c r="G433" s="3">
        <f t="shared" si="24"/>
        <v>4.0196428970479432E-3</v>
      </c>
      <c r="H433">
        <f t="shared" si="25"/>
        <v>3644.8010000000004</v>
      </c>
      <c r="I433" s="3">
        <f t="shared" si="26"/>
        <v>7.4154822297065656E-3</v>
      </c>
      <c r="J433" s="5" t="str">
        <f t="shared" si="27"/>
        <v>低风险用户</v>
      </c>
    </row>
    <row r="434" spans="1:10" x14ac:dyDescent="0.3">
      <c r="A434" s="1">
        <v>45586</v>
      </c>
      <c r="B434" s="2">
        <v>3613.52</v>
      </c>
      <c r="C434" s="2">
        <v>3609.07</v>
      </c>
      <c r="D434" s="2">
        <v>3633.2</v>
      </c>
      <c r="E434" s="2">
        <v>3602.82</v>
      </c>
      <c r="F434" t="s">
        <v>436</v>
      </c>
      <c r="G434" s="3">
        <f t="shared" si="24"/>
        <v>5.3445584827129652E-3</v>
      </c>
      <c r="H434">
        <f t="shared" si="25"/>
        <v>3646.2810000000004</v>
      </c>
      <c r="I434" s="3">
        <f t="shared" si="26"/>
        <v>7.4581216368175387E-3</v>
      </c>
      <c r="J434" s="5" t="str">
        <f t="shared" si="27"/>
        <v>低风险用户</v>
      </c>
    </row>
    <row r="435" spans="1:10" x14ac:dyDescent="0.3">
      <c r="A435" s="1">
        <v>45587</v>
      </c>
      <c r="B435" s="2">
        <v>3609.17</v>
      </c>
      <c r="C435" s="2">
        <v>3633.25</v>
      </c>
      <c r="D435" s="2">
        <v>3638.97</v>
      </c>
      <c r="E435" s="2">
        <v>3605.92</v>
      </c>
      <c r="F435" t="s">
        <v>437</v>
      </c>
      <c r="G435" s="3">
        <f t="shared" si="24"/>
        <v>-1.2038123491775082E-3</v>
      </c>
      <c r="H435">
        <f t="shared" si="25"/>
        <v>3644.8185000000003</v>
      </c>
      <c r="I435" s="3">
        <f t="shared" si="26"/>
        <v>7.7761290861656576E-3</v>
      </c>
      <c r="J435" s="5" t="str">
        <f t="shared" si="27"/>
        <v>低风险用户</v>
      </c>
    </row>
    <row r="436" spans="1:10" x14ac:dyDescent="0.3">
      <c r="A436" s="1">
        <v>45588</v>
      </c>
      <c r="B436" s="2">
        <v>3635.71</v>
      </c>
      <c r="C436" s="2">
        <v>3606.65</v>
      </c>
      <c r="D436" s="2">
        <v>3638.15</v>
      </c>
      <c r="E436" s="2">
        <v>3603.71</v>
      </c>
      <c r="F436" t="s">
        <v>438</v>
      </c>
      <c r="G436" s="3">
        <f t="shared" si="24"/>
        <v>7.3534912459097138E-3</v>
      </c>
      <c r="H436">
        <f t="shared" si="25"/>
        <v>3640.8740000000007</v>
      </c>
      <c r="I436" s="3">
        <f t="shared" si="26"/>
        <v>8.4426010977381484E-3</v>
      </c>
      <c r="J436" s="5" t="str">
        <f t="shared" si="27"/>
        <v>低风险用户</v>
      </c>
    </row>
    <row r="437" spans="1:10" x14ac:dyDescent="0.3">
      <c r="A437" s="1">
        <v>45589</v>
      </c>
      <c r="B437" s="2">
        <v>3601.48</v>
      </c>
      <c r="C437" s="2">
        <v>3630.83</v>
      </c>
      <c r="D437" s="2">
        <v>3650.87</v>
      </c>
      <c r="E437" s="2">
        <v>3599.67</v>
      </c>
      <c r="F437" t="s">
        <v>439</v>
      </c>
      <c r="G437" s="3">
        <f t="shared" si="24"/>
        <v>-9.4149423358848797E-3</v>
      </c>
      <c r="H437">
        <f t="shared" si="25"/>
        <v>3635.1695</v>
      </c>
      <c r="I437" s="3">
        <f t="shared" si="26"/>
        <v>8.2091481684104795E-3</v>
      </c>
      <c r="J437" s="5" t="str">
        <f t="shared" si="27"/>
        <v>低风险用户</v>
      </c>
    </row>
    <row r="438" spans="1:10" x14ac:dyDescent="0.3">
      <c r="A438" s="1">
        <v>45590</v>
      </c>
      <c r="B438" s="2">
        <v>3641.79</v>
      </c>
      <c r="C438" s="2">
        <v>3672.84</v>
      </c>
      <c r="D438" s="2">
        <v>3674.37</v>
      </c>
      <c r="E438" s="2">
        <v>3633.51</v>
      </c>
      <c r="F438" t="s">
        <v>440</v>
      </c>
      <c r="G438" s="3">
        <f t="shared" si="24"/>
        <v>1.1192620811444169E-2</v>
      </c>
      <c r="H438">
        <f t="shared" si="25"/>
        <v>3630.4065000000001</v>
      </c>
      <c r="I438" s="3">
        <f t="shared" si="26"/>
        <v>8.0307377592376984E-3</v>
      </c>
      <c r="J438" s="5" t="str">
        <f t="shared" si="27"/>
        <v>低风险用户</v>
      </c>
    </row>
    <row r="439" spans="1:10" x14ac:dyDescent="0.3">
      <c r="A439" s="1">
        <v>45593</v>
      </c>
      <c r="B439" s="2">
        <v>3684.45</v>
      </c>
      <c r="C439" s="2">
        <v>3675.65</v>
      </c>
      <c r="D439" s="2">
        <v>3691.88</v>
      </c>
      <c r="E439" s="2">
        <v>3667.09</v>
      </c>
      <c r="F439" t="s">
        <v>441</v>
      </c>
      <c r="G439" s="3">
        <f t="shared" si="24"/>
        <v>1.1714019754022021E-2</v>
      </c>
      <c r="H439">
        <f t="shared" si="25"/>
        <v>3624.8619999999996</v>
      </c>
      <c r="I439" s="3">
        <f t="shared" si="26"/>
        <v>7.7388256913058125E-3</v>
      </c>
      <c r="J439" s="5" t="str">
        <f t="shared" si="27"/>
        <v>低风险用户</v>
      </c>
    </row>
    <row r="440" spans="1:10" x14ac:dyDescent="0.3">
      <c r="A440" s="1">
        <v>45594</v>
      </c>
      <c r="B440" s="2">
        <v>3676.16</v>
      </c>
      <c r="C440" s="2">
        <v>3682.29</v>
      </c>
      <c r="D440" s="2">
        <v>3684.61</v>
      </c>
      <c r="E440" s="2">
        <v>3665.15</v>
      </c>
      <c r="F440" t="s">
        <v>442</v>
      </c>
      <c r="G440" s="3">
        <f t="shared" si="24"/>
        <v>-2.2499966073633686E-3</v>
      </c>
      <c r="H440">
        <f t="shared" si="25"/>
        <v>3617.7224999999999</v>
      </c>
      <c r="I440" s="3">
        <f t="shared" si="26"/>
        <v>7.1815821649543685E-3</v>
      </c>
      <c r="J440" s="5" t="str">
        <f t="shared" si="27"/>
        <v>低风险用户</v>
      </c>
    </row>
    <row r="441" spans="1:10" x14ac:dyDescent="0.3">
      <c r="A441" s="1">
        <v>45595</v>
      </c>
      <c r="B441" s="2">
        <v>3690.96</v>
      </c>
      <c r="C441" s="2">
        <v>3682.06</v>
      </c>
      <c r="D441" s="2">
        <v>3703.03</v>
      </c>
      <c r="E441" s="2">
        <v>3677.44</v>
      </c>
      <c r="F441" t="s">
        <v>443</v>
      </c>
      <c r="G441" s="3">
        <f t="shared" si="24"/>
        <v>4.0259401114206622E-3</v>
      </c>
      <c r="H441">
        <f t="shared" si="25"/>
        <v>3612.4044999999996</v>
      </c>
      <c r="I441" s="3">
        <f t="shared" si="26"/>
        <v>7.5133366538656394E-3</v>
      </c>
      <c r="J441" s="5" t="str">
        <f t="shared" si="27"/>
        <v>低风险用户</v>
      </c>
    </row>
    <row r="442" spans="1:10" x14ac:dyDescent="0.3">
      <c r="A442" s="1">
        <v>45596</v>
      </c>
      <c r="B442" s="2">
        <v>3677.97</v>
      </c>
      <c r="C442" s="2">
        <v>3638.56</v>
      </c>
      <c r="D442" s="2">
        <v>3677.97</v>
      </c>
      <c r="E442" s="2">
        <v>3627.45</v>
      </c>
      <c r="F442" t="s">
        <v>444</v>
      </c>
      <c r="G442" s="3">
        <f t="shared" si="24"/>
        <v>-3.5194095844984061E-3</v>
      </c>
      <c r="H442">
        <f t="shared" si="25"/>
        <v>3606.1264999999994</v>
      </c>
      <c r="I442" s="3">
        <f t="shared" si="26"/>
        <v>7.4031945685406929E-3</v>
      </c>
      <c r="J442" s="5" t="str">
        <f t="shared" si="27"/>
        <v>低风险用户</v>
      </c>
    </row>
    <row r="443" spans="1:10" x14ac:dyDescent="0.3">
      <c r="A443" s="1">
        <v>45597</v>
      </c>
      <c r="B443" s="2">
        <v>3640.36</v>
      </c>
      <c r="C443" s="2">
        <v>3636.6</v>
      </c>
      <c r="D443" s="2">
        <v>3657.48</v>
      </c>
      <c r="E443" s="2">
        <v>3626.33</v>
      </c>
      <c r="F443" t="s">
        <v>445</v>
      </c>
      <c r="G443" s="3">
        <f t="shared" si="24"/>
        <v>-1.0225749530311469E-2</v>
      </c>
      <c r="H443">
        <f t="shared" si="25"/>
        <v>3597.7835</v>
      </c>
      <c r="I443" s="3">
        <f t="shared" si="26"/>
        <v>7.993695350481618E-3</v>
      </c>
      <c r="J443" s="5" t="str">
        <f t="shared" si="27"/>
        <v>低风险用户</v>
      </c>
    </row>
    <row r="444" spans="1:10" x14ac:dyDescent="0.3">
      <c r="A444" s="1">
        <v>45600</v>
      </c>
      <c r="B444" s="2">
        <v>3626.06</v>
      </c>
      <c r="C444" s="2">
        <v>3651.05</v>
      </c>
      <c r="D444" s="2">
        <v>3656.53</v>
      </c>
      <c r="E444" s="2">
        <v>3624</v>
      </c>
      <c r="F444" t="s">
        <v>446</v>
      </c>
      <c r="G444" s="3">
        <f t="shared" si="24"/>
        <v>-3.9281829269633174E-3</v>
      </c>
      <c r="H444">
        <f t="shared" si="25"/>
        <v>3593.2195000000002</v>
      </c>
      <c r="I444" s="3">
        <f t="shared" si="26"/>
        <v>8.2736825731192492E-3</v>
      </c>
      <c r="J444" s="5" t="str">
        <f t="shared" si="27"/>
        <v>低风险用户</v>
      </c>
    </row>
    <row r="445" spans="1:10" x14ac:dyDescent="0.3">
      <c r="A445" s="1">
        <v>45601</v>
      </c>
      <c r="B445" s="2">
        <v>3657.05</v>
      </c>
      <c r="C445" s="2">
        <v>3668.23</v>
      </c>
      <c r="D445" s="2">
        <v>3675.78</v>
      </c>
      <c r="E445" s="2">
        <v>3646.71</v>
      </c>
      <c r="F445" t="s">
        <v>447</v>
      </c>
      <c r="G445" s="3">
        <f t="shared" si="24"/>
        <v>8.5464664125801115E-3</v>
      </c>
      <c r="H445">
        <f t="shared" si="25"/>
        <v>3585.7084999999997</v>
      </c>
      <c r="I445" s="3">
        <f t="shared" si="26"/>
        <v>9.3352201824555836E-3</v>
      </c>
      <c r="J445" s="5" t="str">
        <f t="shared" si="27"/>
        <v>低风险用户</v>
      </c>
    </row>
    <row r="446" spans="1:10" x14ac:dyDescent="0.3">
      <c r="A446" s="1">
        <v>45602</v>
      </c>
      <c r="B446" s="2">
        <v>3664.69</v>
      </c>
      <c r="C446" s="2">
        <v>3646.35</v>
      </c>
      <c r="D446" s="2">
        <v>3673.62</v>
      </c>
      <c r="E446" s="2">
        <v>3634.6</v>
      </c>
      <c r="F446" t="s">
        <v>448</v>
      </c>
      <c r="G446" s="3">
        <f t="shared" si="24"/>
        <v>2.089115543949323E-3</v>
      </c>
      <c r="H446">
        <f t="shared" si="25"/>
        <v>3578.0680000000016</v>
      </c>
      <c r="I446" s="3">
        <f t="shared" si="26"/>
        <v>9.3130761545575872E-3</v>
      </c>
      <c r="J446" s="5" t="str">
        <f t="shared" si="27"/>
        <v>低风险用户</v>
      </c>
    </row>
    <row r="447" spans="1:10" x14ac:dyDescent="0.3">
      <c r="A447" s="1">
        <v>45603</v>
      </c>
      <c r="B447" s="2">
        <v>3666.28</v>
      </c>
      <c r="C447" s="2">
        <v>3669.09</v>
      </c>
      <c r="D447" s="2">
        <v>3674.61</v>
      </c>
      <c r="E447" s="2">
        <v>3641.76</v>
      </c>
      <c r="F447" t="s">
        <v>449</v>
      </c>
      <c r="G447" s="3">
        <f t="shared" si="24"/>
        <v>4.3387025914883536E-4</v>
      </c>
      <c r="H447">
        <f t="shared" si="25"/>
        <v>3570.0690000000009</v>
      </c>
      <c r="I447" s="3">
        <f t="shared" si="26"/>
        <v>9.277088722768348E-3</v>
      </c>
      <c r="J447" s="5" t="str">
        <f t="shared" si="27"/>
        <v>低风险用户</v>
      </c>
    </row>
    <row r="448" spans="1:10" x14ac:dyDescent="0.3">
      <c r="A448" s="1">
        <v>45604</v>
      </c>
      <c r="B448" s="2">
        <v>3664.56</v>
      </c>
      <c r="C448" s="2">
        <v>3630.41</v>
      </c>
      <c r="D448" s="2">
        <v>3669.76</v>
      </c>
      <c r="E448" s="2">
        <v>3630.41</v>
      </c>
      <c r="F448" t="s">
        <v>450</v>
      </c>
      <c r="G448" s="3">
        <f t="shared" si="24"/>
        <v>-4.691403820767248E-4</v>
      </c>
      <c r="H448">
        <f t="shared" si="25"/>
        <v>3563.4295000000006</v>
      </c>
      <c r="I448" s="3">
        <f t="shared" si="26"/>
        <v>9.5517525347285567E-3</v>
      </c>
      <c r="J448" s="5" t="str">
        <f t="shared" si="27"/>
        <v>高风险用户</v>
      </c>
    </row>
    <row r="449" spans="1:10" x14ac:dyDescent="0.3">
      <c r="A449" s="1">
        <v>45607</v>
      </c>
      <c r="B449" s="2">
        <v>3630.22</v>
      </c>
      <c r="C449" s="2">
        <v>3650.75</v>
      </c>
      <c r="D449" s="2">
        <v>3650.94</v>
      </c>
      <c r="E449" s="2">
        <v>3628.7</v>
      </c>
      <c r="F449" t="s">
        <v>451</v>
      </c>
      <c r="G449" s="3">
        <f t="shared" si="24"/>
        <v>-9.3708385181304563E-3</v>
      </c>
      <c r="H449">
        <f t="shared" si="25"/>
        <v>3557.0220000000008</v>
      </c>
      <c r="I449" s="3">
        <f t="shared" si="26"/>
        <v>9.5656308167791897E-3</v>
      </c>
      <c r="J449" s="5" t="str">
        <f t="shared" si="27"/>
        <v>高风险用户</v>
      </c>
    </row>
    <row r="450" spans="1:10" x14ac:dyDescent="0.3">
      <c r="A450" s="1">
        <v>45608</v>
      </c>
      <c r="B450" s="2">
        <v>3659.01</v>
      </c>
      <c r="C450" s="2">
        <v>3657</v>
      </c>
      <c r="D450" s="2">
        <v>3665.68</v>
      </c>
      <c r="E450" s="2">
        <v>3648.38</v>
      </c>
      <c r="F450" t="s">
        <v>452</v>
      </c>
      <c r="G450" s="3">
        <f t="shared" si="24"/>
        <v>7.9306488312004281E-3</v>
      </c>
      <c r="H450">
        <f t="shared" si="25"/>
        <v>3553.9010000000003</v>
      </c>
      <c r="I450" s="3">
        <f t="shared" si="26"/>
        <v>9.6685943422918225E-3</v>
      </c>
      <c r="J450" s="5" t="str">
        <f t="shared" si="27"/>
        <v>高风险用户</v>
      </c>
    </row>
    <row r="451" spans="1:10" x14ac:dyDescent="0.3">
      <c r="A451" s="1">
        <v>45609</v>
      </c>
      <c r="B451" s="2">
        <v>3657.88</v>
      </c>
      <c r="C451" s="2">
        <v>3654.05</v>
      </c>
      <c r="D451" s="2">
        <v>3668.26</v>
      </c>
      <c r="E451" s="2">
        <v>3645.74</v>
      </c>
      <c r="F451" t="s">
        <v>453</v>
      </c>
      <c r="G451" s="3">
        <f t="shared" ref="G451:G514" si="28">IFERROR((B451-B450)/B450,"")</f>
        <v>-3.0882670449113535E-4</v>
      </c>
      <c r="H451">
        <f t="shared" ref="H451:H514" si="29">AVERAGE(B451:B470)</f>
        <v>3549.9844999999996</v>
      </c>
      <c r="I451" s="3">
        <f t="shared" ref="I451:I514" si="30">IFERROR(STDEV(G451:G470),"")</f>
        <v>9.5096956263802795E-3</v>
      </c>
      <c r="J451" s="5" t="str">
        <f t="shared" ref="J451:J514" si="31">IF(ROW()&lt;22,"未知",IF(I451&gt;AVERAGE(I:I),"高风险用户","低风险用户"))</f>
        <v>高风险用户</v>
      </c>
    </row>
    <row r="452" spans="1:10" x14ac:dyDescent="0.3">
      <c r="A452" s="1">
        <v>45610</v>
      </c>
      <c r="B452" s="2">
        <v>3604.39</v>
      </c>
      <c r="C452" s="2">
        <v>3619.26</v>
      </c>
      <c r="D452" s="2">
        <v>3630.71</v>
      </c>
      <c r="E452" s="2">
        <v>3604.39</v>
      </c>
      <c r="F452" t="s">
        <v>454</v>
      </c>
      <c r="G452" s="3">
        <f t="shared" si="28"/>
        <v>-1.4623224381335702E-2</v>
      </c>
      <c r="H452">
        <f t="shared" si="29"/>
        <v>3546.8729999999996</v>
      </c>
      <c r="I452" s="3">
        <f t="shared" si="30"/>
        <v>9.5805449207601659E-3</v>
      </c>
      <c r="J452" s="5" t="str">
        <f t="shared" si="31"/>
        <v>高风险用户</v>
      </c>
    </row>
    <row r="453" spans="1:10" x14ac:dyDescent="0.3">
      <c r="A453" s="1">
        <v>45611</v>
      </c>
      <c r="B453" s="2">
        <v>3623.91</v>
      </c>
      <c r="C453" s="2">
        <v>3584.54</v>
      </c>
      <c r="D453" s="2">
        <v>3645.82</v>
      </c>
      <c r="E453" s="2">
        <v>3578.76</v>
      </c>
      <c r="F453" t="s">
        <v>455</v>
      </c>
      <c r="G453" s="3">
        <f t="shared" si="28"/>
        <v>5.4156181767233795E-3</v>
      </c>
      <c r="H453">
        <f t="shared" si="29"/>
        <v>3543.5275000000001</v>
      </c>
      <c r="I453" s="3">
        <f t="shared" si="30"/>
        <v>9.7039983636854951E-3</v>
      </c>
      <c r="J453" s="5" t="str">
        <f t="shared" si="31"/>
        <v>高风险用户</v>
      </c>
    </row>
    <row r="454" spans="1:10" x14ac:dyDescent="0.3">
      <c r="A454" s="1">
        <v>45614</v>
      </c>
      <c r="B454" s="2">
        <v>3584.27</v>
      </c>
      <c r="C454" s="2">
        <v>3531.96</v>
      </c>
      <c r="D454" s="2">
        <v>3588.4</v>
      </c>
      <c r="E454" s="2">
        <v>3531.96</v>
      </c>
      <c r="F454" t="s">
        <v>456</v>
      </c>
      <c r="G454" s="3">
        <f t="shared" si="28"/>
        <v>-1.093846149600842E-2</v>
      </c>
      <c r="H454">
        <f t="shared" si="29"/>
        <v>3538.38</v>
      </c>
      <c r="I454" s="3">
        <f t="shared" si="30"/>
        <v>9.6206898962917058E-3</v>
      </c>
      <c r="J454" s="5" t="str">
        <f t="shared" si="31"/>
        <v>高风险用户</v>
      </c>
    </row>
    <row r="455" spans="1:10" x14ac:dyDescent="0.3">
      <c r="A455" s="1">
        <v>45615</v>
      </c>
      <c r="B455" s="2">
        <v>3530.28</v>
      </c>
      <c r="C455" s="2">
        <v>3510.64</v>
      </c>
      <c r="D455" s="2">
        <v>3543.97</v>
      </c>
      <c r="E455" s="2">
        <v>3505.2</v>
      </c>
      <c r="F455" t="s">
        <v>457</v>
      </c>
      <c r="G455" s="3">
        <f t="shared" si="28"/>
        <v>-1.5063039335764266E-2</v>
      </c>
      <c r="H455">
        <f t="shared" si="29"/>
        <v>3534.3059999999996</v>
      </c>
      <c r="I455" s="3">
        <f t="shared" si="30"/>
        <v>9.4033501038953277E-3</v>
      </c>
      <c r="J455" s="5" t="str">
        <f t="shared" si="31"/>
        <v>低风险用户</v>
      </c>
    </row>
    <row r="456" spans="1:10" x14ac:dyDescent="0.3">
      <c r="A456" s="1">
        <v>45616</v>
      </c>
      <c r="B456" s="2">
        <v>3521.62</v>
      </c>
      <c r="C456" s="2">
        <v>3514.01</v>
      </c>
      <c r="D456" s="2">
        <v>3524.54</v>
      </c>
      <c r="E456" s="2">
        <v>3495.65</v>
      </c>
      <c r="F456" t="s">
        <v>458</v>
      </c>
      <c r="G456" s="3">
        <f t="shared" si="28"/>
        <v>-2.4530632131163277E-3</v>
      </c>
      <c r="H456">
        <f t="shared" si="29"/>
        <v>3534.9794999999999</v>
      </c>
      <c r="I456" s="3">
        <f t="shared" si="30"/>
        <v>9.2147378320403348E-3</v>
      </c>
      <c r="J456" s="5" t="str">
        <f t="shared" si="31"/>
        <v>低风险用户</v>
      </c>
    </row>
    <row r="457" spans="1:10" x14ac:dyDescent="0.3">
      <c r="A457" s="1">
        <v>45617</v>
      </c>
      <c r="B457" s="2">
        <v>3506.22</v>
      </c>
      <c r="C457" s="2">
        <v>3525.67</v>
      </c>
      <c r="D457" s="2">
        <v>3533.76</v>
      </c>
      <c r="E457" s="2">
        <v>3499.98</v>
      </c>
      <c r="F457" t="s">
        <v>459</v>
      </c>
      <c r="G457" s="3">
        <f t="shared" si="28"/>
        <v>-4.3729874319205627E-3</v>
      </c>
      <c r="H457">
        <f t="shared" si="29"/>
        <v>3535.1864999999998</v>
      </c>
      <c r="I457" s="3">
        <f t="shared" si="30"/>
        <v>9.2734425095468212E-3</v>
      </c>
      <c r="J457" s="5" t="str">
        <f t="shared" si="31"/>
        <v>低风险用户</v>
      </c>
    </row>
    <row r="458" spans="1:10" x14ac:dyDescent="0.3">
      <c r="A458" s="1">
        <v>45618</v>
      </c>
      <c r="B458" s="2">
        <v>3530.9</v>
      </c>
      <c r="C458" s="2">
        <v>3536.18</v>
      </c>
      <c r="D458" s="2">
        <v>3558.16</v>
      </c>
      <c r="E458" s="2">
        <v>3528.02</v>
      </c>
      <c r="F458" t="s">
        <v>460</v>
      </c>
      <c r="G458" s="3">
        <f t="shared" si="28"/>
        <v>7.0389194060841284E-3</v>
      </c>
      <c r="H458">
        <f t="shared" si="29"/>
        <v>3537.1255000000006</v>
      </c>
      <c r="I458" s="3">
        <f t="shared" si="30"/>
        <v>9.2843962655462398E-3</v>
      </c>
      <c r="J458" s="5" t="str">
        <f t="shared" si="31"/>
        <v>低风险用户</v>
      </c>
    </row>
    <row r="459" spans="1:10" x14ac:dyDescent="0.3">
      <c r="A459" s="1">
        <v>45621</v>
      </c>
      <c r="B459" s="2">
        <v>3541.66</v>
      </c>
      <c r="C459" s="2">
        <v>3550.61</v>
      </c>
      <c r="D459" s="2">
        <v>3560.95</v>
      </c>
      <c r="E459" s="2">
        <v>3529.32</v>
      </c>
      <c r="F459" t="s">
        <v>461</v>
      </c>
      <c r="G459" s="3">
        <f t="shared" si="28"/>
        <v>3.0473816873884175E-3</v>
      </c>
      <c r="H459">
        <f t="shared" si="29"/>
        <v>3539.6350000000007</v>
      </c>
      <c r="I459" s="3">
        <f t="shared" si="30"/>
        <v>9.4247392466572464E-3</v>
      </c>
      <c r="J459" s="5" t="str">
        <f t="shared" si="31"/>
        <v>低风险用户</v>
      </c>
    </row>
    <row r="460" spans="1:10" x14ac:dyDescent="0.3">
      <c r="A460" s="1">
        <v>45622</v>
      </c>
      <c r="B460" s="2">
        <v>3569.8</v>
      </c>
      <c r="C460" s="2">
        <v>3550.56</v>
      </c>
      <c r="D460" s="2">
        <v>3602.79</v>
      </c>
      <c r="E460" s="2">
        <v>3547.6</v>
      </c>
      <c r="F460" t="s">
        <v>462</v>
      </c>
      <c r="G460" s="3">
        <f t="shared" si="28"/>
        <v>7.9454267208033322E-3</v>
      </c>
      <c r="H460">
        <f t="shared" si="29"/>
        <v>3541.8210000000008</v>
      </c>
      <c r="I460" s="3">
        <f t="shared" si="30"/>
        <v>9.4100566325055271E-3</v>
      </c>
      <c r="J460" s="5" t="str">
        <f t="shared" si="31"/>
        <v>低风险用户</v>
      </c>
    </row>
    <row r="461" spans="1:10" x14ac:dyDescent="0.3">
      <c r="A461" s="1">
        <v>45623</v>
      </c>
      <c r="B461" s="2">
        <v>3565.4</v>
      </c>
      <c r="C461" s="2">
        <v>3509.13</v>
      </c>
      <c r="D461" s="2">
        <v>3565.94</v>
      </c>
      <c r="E461" s="2">
        <v>3498.03</v>
      </c>
      <c r="F461" t="s">
        <v>463</v>
      </c>
      <c r="G461" s="3">
        <f t="shared" si="28"/>
        <v>-1.2325620482940476E-3</v>
      </c>
      <c r="H461">
        <f t="shared" si="29"/>
        <v>3542.2125000000005</v>
      </c>
      <c r="I461" s="3">
        <f t="shared" si="30"/>
        <v>9.2683032645918002E-3</v>
      </c>
      <c r="J461" s="5" t="str">
        <f t="shared" si="31"/>
        <v>低风险用户</v>
      </c>
    </row>
    <row r="462" spans="1:10" x14ac:dyDescent="0.3">
      <c r="A462" s="1">
        <v>45624</v>
      </c>
      <c r="B462" s="2">
        <v>3511.11</v>
      </c>
      <c r="C462" s="2">
        <v>3533.36</v>
      </c>
      <c r="D462" s="2">
        <v>3545.5</v>
      </c>
      <c r="E462" s="2">
        <v>3503.62</v>
      </c>
      <c r="F462" t="s">
        <v>464</v>
      </c>
      <c r="G462" s="3">
        <f t="shared" si="28"/>
        <v>-1.5226903012284725E-2</v>
      </c>
      <c r="H462">
        <f t="shared" si="29"/>
        <v>3544.1190000000001</v>
      </c>
      <c r="I462" s="3">
        <f t="shared" si="30"/>
        <v>9.3945054557315871E-3</v>
      </c>
      <c r="J462" s="5" t="str">
        <f t="shared" si="31"/>
        <v>低风险用户</v>
      </c>
    </row>
    <row r="463" spans="1:10" x14ac:dyDescent="0.3">
      <c r="A463" s="1">
        <v>45625</v>
      </c>
      <c r="B463" s="2">
        <v>3549.08</v>
      </c>
      <c r="C463" s="2">
        <v>3473.5</v>
      </c>
      <c r="D463" s="2">
        <v>3552.41</v>
      </c>
      <c r="E463" s="2">
        <v>3473.5</v>
      </c>
      <c r="F463" t="s">
        <v>465</v>
      </c>
      <c r="G463" s="3">
        <f t="shared" si="28"/>
        <v>1.0814243928558148E-2</v>
      </c>
      <c r="H463">
        <f t="shared" si="29"/>
        <v>3547.0630000000006</v>
      </c>
      <c r="I463" s="3">
        <f t="shared" si="30"/>
        <v>8.9533895162645493E-3</v>
      </c>
      <c r="J463" s="5" t="str">
        <f t="shared" si="31"/>
        <v>低风险用户</v>
      </c>
    </row>
    <row r="464" spans="1:10" x14ac:dyDescent="0.3">
      <c r="A464" s="1">
        <v>45628</v>
      </c>
      <c r="B464" s="2">
        <v>3475.84</v>
      </c>
      <c r="C464" s="2">
        <v>3505.75</v>
      </c>
      <c r="D464" s="2">
        <v>3516.7</v>
      </c>
      <c r="E464" s="2">
        <v>3470.06</v>
      </c>
      <c r="F464" t="s">
        <v>466</v>
      </c>
      <c r="G464" s="3">
        <f t="shared" si="28"/>
        <v>-2.0636333923157491E-2</v>
      </c>
      <c r="H464">
        <f t="shared" si="29"/>
        <v>3547.7200000000003</v>
      </c>
      <c r="I464" s="3">
        <f t="shared" si="30"/>
        <v>8.6604323330429708E-3</v>
      </c>
      <c r="J464" s="5" t="str">
        <f t="shared" si="31"/>
        <v>低风险用户</v>
      </c>
    </row>
    <row r="465" spans="1:10" x14ac:dyDescent="0.3">
      <c r="A465" s="1">
        <v>45629</v>
      </c>
      <c r="B465" s="2">
        <v>3504.24</v>
      </c>
      <c r="C465" s="2">
        <v>3485.03</v>
      </c>
      <c r="D465" s="2">
        <v>3520.59</v>
      </c>
      <c r="E465" s="2">
        <v>3484.93</v>
      </c>
      <c r="F465" t="s">
        <v>467</v>
      </c>
      <c r="G465" s="3">
        <f t="shared" si="28"/>
        <v>8.1706867980113115E-3</v>
      </c>
      <c r="H465">
        <f t="shared" si="29"/>
        <v>3552.5459999999994</v>
      </c>
      <c r="I465" s="3">
        <f t="shared" si="30"/>
        <v>7.1427956900558618E-3</v>
      </c>
      <c r="J465" s="5" t="str">
        <f t="shared" si="31"/>
        <v>低风险用户</v>
      </c>
    </row>
    <row r="466" spans="1:10" x14ac:dyDescent="0.3">
      <c r="A466" s="1">
        <v>45630</v>
      </c>
      <c r="B466" s="2">
        <v>3504.71</v>
      </c>
      <c r="C466" s="2">
        <v>3528.97</v>
      </c>
      <c r="D466" s="2">
        <v>3531.23</v>
      </c>
      <c r="E466" s="2">
        <v>3490.05</v>
      </c>
      <c r="F466" t="s">
        <v>468</v>
      </c>
      <c r="G466" s="3">
        <f t="shared" si="28"/>
        <v>1.3412323356854972E-4</v>
      </c>
      <c r="H466">
        <f t="shared" si="29"/>
        <v>3557.2084999999997</v>
      </c>
      <c r="I466" s="3">
        <f t="shared" si="30"/>
        <v>7.0903963273280246E-3</v>
      </c>
      <c r="J466" s="5" t="str">
        <f t="shared" si="31"/>
        <v>低风险用户</v>
      </c>
    </row>
    <row r="467" spans="1:10" x14ac:dyDescent="0.3">
      <c r="A467" s="1">
        <v>45631</v>
      </c>
      <c r="B467" s="2">
        <v>3533.49</v>
      </c>
      <c r="C467" s="2">
        <v>3533.39</v>
      </c>
      <c r="D467" s="2">
        <v>3543.71</v>
      </c>
      <c r="E467" s="2">
        <v>3518.86</v>
      </c>
      <c r="F467" t="s">
        <v>469</v>
      </c>
      <c r="G467" s="3">
        <f t="shared" si="28"/>
        <v>8.2118063976761978E-3</v>
      </c>
      <c r="H467">
        <f t="shared" si="29"/>
        <v>3561.4359999999992</v>
      </c>
      <c r="I467" s="3">
        <f t="shared" si="30"/>
        <v>7.1325918356717963E-3</v>
      </c>
      <c r="J467" s="5" t="str">
        <f t="shared" si="31"/>
        <v>低风险用户</v>
      </c>
    </row>
    <row r="468" spans="1:10" x14ac:dyDescent="0.3">
      <c r="A468" s="1">
        <v>45632</v>
      </c>
      <c r="B468" s="2">
        <v>3536.41</v>
      </c>
      <c r="C468" s="2">
        <v>3553.56</v>
      </c>
      <c r="D468" s="2">
        <v>3567.82</v>
      </c>
      <c r="E468" s="2">
        <v>3535.77</v>
      </c>
      <c r="F468" t="s">
        <v>470</v>
      </c>
      <c r="G468" s="3">
        <f t="shared" si="28"/>
        <v>8.2637845303087682E-4</v>
      </c>
      <c r="H468">
        <f t="shared" si="29"/>
        <v>3562.0069999999992</v>
      </c>
      <c r="I468" s="3">
        <f t="shared" si="30"/>
        <v>7.5419926906131569E-3</v>
      </c>
      <c r="J468" s="5" t="str">
        <f t="shared" si="31"/>
        <v>低风险用户</v>
      </c>
    </row>
    <row r="469" spans="1:10" x14ac:dyDescent="0.3">
      <c r="A469" s="1">
        <v>45635</v>
      </c>
      <c r="B469" s="2">
        <v>3567.8</v>
      </c>
      <c r="C469" s="2">
        <v>3578.68</v>
      </c>
      <c r="D469" s="2">
        <v>3582.43</v>
      </c>
      <c r="E469" s="2">
        <v>3558.87</v>
      </c>
      <c r="F469" t="s">
        <v>471</v>
      </c>
      <c r="G469" s="3">
        <f t="shared" si="28"/>
        <v>8.8762332421863776E-3</v>
      </c>
      <c r="H469">
        <f t="shared" si="29"/>
        <v>3561.6724999999997</v>
      </c>
      <c r="I469" s="3">
        <f t="shared" si="30"/>
        <v>7.6055720090965383E-3</v>
      </c>
      <c r="J469" s="5" t="str">
        <f t="shared" si="31"/>
        <v>低风险用户</v>
      </c>
    </row>
    <row r="470" spans="1:10" x14ac:dyDescent="0.3">
      <c r="A470" s="1">
        <v>45636</v>
      </c>
      <c r="B470" s="2">
        <v>3580.68</v>
      </c>
      <c r="C470" s="2">
        <v>3593.22</v>
      </c>
      <c r="D470" s="2">
        <v>3596.19</v>
      </c>
      <c r="E470" s="2">
        <v>3568.75</v>
      </c>
      <c r="F470" t="s">
        <v>472</v>
      </c>
      <c r="G470" s="3">
        <f t="shared" si="28"/>
        <v>3.61006782891408E-3</v>
      </c>
      <c r="H470">
        <f t="shared" si="29"/>
        <v>3560.835</v>
      </c>
      <c r="I470" s="3">
        <f t="shared" si="30"/>
        <v>7.4551216172585276E-3</v>
      </c>
      <c r="J470" s="5" t="str">
        <f t="shared" si="31"/>
        <v>低风险用户</v>
      </c>
    </row>
    <row r="471" spans="1:10" x14ac:dyDescent="0.3">
      <c r="A471" s="1">
        <v>45637</v>
      </c>
      <c r="B471" s="2">
        <v>3595.65</v>
      </c>
      <c r="C471" s="2">
        <v>3551.58</v>
      </c>
      <c r="D471" s="2">
        <v>3600.92</v>
      </c>
      <c r="E471" s="2">
        <v>3551.58</v>
      </c>
      <c r="F471" t="s">
        <v>473</v>
      </c>
      <c r="G471" s="3">
        <f t="shared" si="28"/>
        <v>4.1807701330474258E-3</v>
      </c>
      <c r="H471">
        <f t="shared" si="29"/>
        <v>3560.0765000000001</v>
      </c>
      <c r="I471" s="3">
        <f t="shared" si="30"/>
        <v>7.4682805156509316E-3</v>
      </c>
      <c r="J471" s="5" t="str">
        <f t="shared" si="31"/>
        <v>低风险用户</v>
      </c>
    </row>
    <row r="472" spans="1:10" x14ac:dyDescent="0.3">
      <c r="A472" s="1">
        <v>45638</v>
      </c>
      <c r="B472" s="2">
        <v>3537.48</v>
      </c>
      <c r="C472" s="2">
        <v>3516.88</v>
      </c>
      <c r="D472" s="2">
        <v>3538.24</v>
      </c>
      <c r="E472" s="2">
        <v>3516.88</v>
      </c>
      <c r="F472" t="s">
        <v>474</v>
      </c>
      <c r="G472" s="3">
        <f t="shared" si="28"/>
        <v>-1.6177881606941742E-2</v>
      </c>
      <c r="H472">
        <f t="shared" si="29"/>
        <v>3557.3375000000001</v>
      </c>
      <c r="I472" s="3">
        <f t="shared" si="30"/>
        <v>7.5384514582088865E-3</v>
      </c>
      <c r="J472" s="5" t="str">
        <f t="shared" si="31"/>
        <v>低风险用户</v>
      </c>
    </row>
    <row r="473" spans="1:10" x14ac:dyDescent="0.3">
      <c r="A473" s="1">
        <v>45639</v>
      </c>
      <c r="B473" s="2">
        <v>3520.96</v>
      </c>
      <c r="C473" s="2">
        <v>3498.48</v>
      </c>
      <c r="D473" s="2">
        <v>3551.21</v>
      </c>
      <c r="E473" s="2">
        <v>3489.39</v>
      </c>
      <c r="F473" t="s">
        <v>475</v>
      </c>
      <c r="G473" s="3">
        <f t="shared" si="28"/>
        <v>-4.6699910670873002E-3</v>
      </c>
      <c r="H473">
        <f t="shared" si="29"/>
        <v>3557.3535000000011</v>
      </c>
      <c r="I473" s="3">
        <f t="shared" si="30"/>
        <v>6.6082572661245098E-3</v>
      </c>
      <c r="J473" s="5" t="str">
        <f t="shared" si="31"/>
        <v>低风险用户</v>
      </c>
    </row>
    <row r="474" spans="1:10" x14ac:dyDescent="0.3">
      <c r="A474" s="1">
        <v>45642</v>
      </c>
      <c r="B474" s="2">
        <v>3502.79</v>
      </c>
      <c r="C474" s="2">
        <v>3538.72</v>
      </c>
      <c r="D474" s="2">
        <v>3542.96</v>
      </c>
      <c r="E474" s="2">
        <v>3502.79</v>
      </c>
      <c r="F474" t="s">
        <v>476</v>
      </c>
      <c r="G474" s="3">
        <f t="shared" si="28"/>
        <v>-5.1605244024357198E-3</v>
      </c>
      <c r="H474">
        <f t="shared" si="29"/>
        <v>3557.1095000000009</v>
      </c>
      <c r="I474" s="3">
        <f t="shared" si="30"/>
        <v>6.6710766843584715E-3</v>
      </c>
      <c r="J474" s="5" t="str">
        <f t="shared" si="31"/>
        <v>低风险用户</v>
      </c>
    </row>
    <row r="475" spans="1:10" x14ac:dyDescent="0.3">
      <c r="A475" s="1">
        <v>45643</v>
      </c>
      <c r="B475" s="2">
        <v>3543.75</v>
      </c>
      <c r="C475" s="2">
        <v>3526.68</v>
      </c>
      <c r="D475" s="2">
        <v>3547.65</v>
      </c>
      <c r="E475" s="2">
        <v>3518.6</v>
      </c>
      <c r="F475" t="s">
        <v>477</v>
      </c>
      <c r="G475" s="3">
        <f t="shared" si="28"/>
        <v>1.1693535724379719E-2</v>
      </c>
      <c r="H475">
        <f t="shared" si="29"/>
        <v>3554.4830000000002</v>
      </c>
      <c r="I475" s="3">
        <f t="shared" si="30"/>
        <v>7.8097732947075742E-3</v>
      </c>
      <c r="J475" s="5" t="str">
        <f t="shared" si="31"/>
        <v>低风险用户</v>
      </c>
    </row>
    <row r="476" spans="1:10" x14ac:dyDescent="0.3">
      <c r="A476" s="1">
        <v>45644</v>
      </c>
      <c r="B476" s="2">
        <v>3525.76</v>
      </c>
      <c r="C476" s="2">
        <v>3536.71</v>
      </c>
      <c r="D476" s="2">
        <v>3564.96</v>
      </c>
      <c r="E476" s="2">
        <v>3525.76</v>
      </c>
      <c r="F476" t="s">
        <v>478</v>
      </c>
      <c r="G476" s="3">
        <f t="shared" si="28"/>
        <v>-5.0765432098764818E-3</v>
      </c>
      <c r="H476">
        <f t="shared" si="29"/>
        <v>3552.0349999999999</v>
      </c>
      <c r="I476" s="3">
        <f t="shared" si="30"/>
        <v>7.9152734189628145E-3</v>
      </c>
      <c r="J476" s="5" t="str">
        <f t="shared" si="31"/>
        <v>低风险用户</v>
      </c>
    </row>
    <row r="477" spans="1:10" x14ac:dyDescent="0.3">
      <c r="A477" s="1">
        <v>45645</v>
      </c>
      <c r="B477" s="2">
        <v>3545</v>
      </c>
      <c r="C477" s="2">
        <v>3571.27</v>
      </c>
      <c r="D477" s="2">
        <v>3575.72</v>
      </c>
      <c r="E477" s="2">
        <v>3522.84</v>
      </c>
      <c r="F477" t="s">
        <v>479</v>
      </c>
      <c r="G477" s="3">
        <f t="shared" si="28"/>
        <v>5.4569794881103029E-3</v>
      </c>
      <c r="H477">
        <f t="shared" si="29"/>
        <v>3548.4150000000009</v>
      </c>
      <c r="I477" s="3">
        <f t="shared" si="30"/>
        <v>8.2520324183636817E-3</v>
      </c>
      <c r="J477" s="5" t="str">
        <f t="shared" si="31"/>
        <v>低风险用户</v>
      </c>
    </row>
    <row r="478" spans="1:10" x14ac:dyDescent="0.3">
      <c r="A478" s="1">
        <v>45646</v>
      </c>
      <c r="B478" s="2">
        <v>3581.09</v>
      </c>
      <c r="C478" s="2">
        <v>3593.07</v>
      </c>
      <c r="D478" s="2">
        <v>3601.11</v>
      </c>
      <c r="E478" s="2">
        <v>3575.03</v>
      </c>
      <c r="F478" t="s">
        <v>480</v>
      </c>
      <c r="G478" s="3">
        <f t="shared" si="28"/>
        <v>1.0180535966149547E-2</v>
      </c>
      <c r="H478">
        <f t="shared" si="29"/>
        <v>3545.652000000001</v>
      </c>
      <c r="I478" s="3">
        <f t="shared" si="30"/>
        <v>8.5345634965964499E-3</v>
      </c>
      <c r="J478" s="5" t="str">
        <f t="shared" si="31"/>
        <v>低风险用户</v>
      </c>
    </row>
    <row r="479" spans="1:10" x14ac:dyDescent="0.3">
      <c r="A479" s="1">
        <v>45649</v>
      </c>
      <c r="B479" s="2">
        <v>3585.38</v>
      </c>
      <c r="C479" s="2">
        <v>3568.72</v>
      </c>
      <c r="D479" s="2">
        <v>3589.55</v>
      </c>
      <c r="E479" s="2">
        <v>3568.43</v>
      </c>
      <c r="F479" t="s">
        <v>481</v>
      </c>
      <c r="G479" s="3">
        <f t="shared" si="28"/>
        <v>1.1979592805542345E-3</v>
      </c>
      <c r="H479">
        <f t="shared" si="29"/>
        <v>3540.9310000000005</v>
      </c>
      <c r="I479" s="3">
        <f t="shared" si="30"/>
        <v>8.1381106714048194E-3</v>
      </c>
      <c r="J479" s="5" t="str">
        <f t="shared" si="31"/>
        <v>低风险用户</v>
      </c>
    </row>
    <row r="480" spans="1:10" x14ac:dyDescent="0.3">
      <c r="A480" s="1">
        <v>45650</v>
      </c>
      <c r="B480" s="2">
        <v>3577.63</v>
      </c>
      <c r="C480" s="2">
        <v>3593.34</v>
      </c>
      <c r="D480" s="2">
        <v>3610.74</v>
      </c>
      <c r="E480" s="2">
        <v>3577.19</v>
      </c>
      <c r="F480" t="s">
        <v>482</v>
      </c>
      <c r="G480" s="3">
        <f t="shared" si="28"/>
        <v>-2.1615560972616569E-3</v>
      </c>
      <c r="H480">
        <f t="shared" si="29"/>
        <v>3534.5055000000007</v>
      </c>
      <c r="I480" s="3">
        <f t="shared" si="30"/>
        <v>8.2710885631928008E-3</v>
      </c>
      <c r="J480" s="5" t="str">
        <f t="shared" si="31"/>
        <v>低风险用户</v>
      </c>
    </row>
    <row r="481" spans="1:10" x14ac:dyDescent="0.3">
      <c r="A481" s="1">
        <v>45651</v>
      </c>
      <c r="B481" s="2">
        <v>3603.53</v>
      </c>
      <c r="C481" s="2">
        <v>3577.06</v>
      </c>
      <c r="D481" s="2">
        <v>3604.05</v>
      </c>
      <c r="E481" s="2">
        <v>3573.4</v>
      </c>
      <c r="F481" t="s">
        <v>483</v>
      </c>
      <c r="G481" s="3">
        <f t="shared" si="28"/>
        <v>7.2394294546948932E-3</v>
      </c>
      <c r="H481">
        <f t="shared" si="29"/>
        <v>3526.1665000000007</v>
      </c>
      <c r="I481" s="3">
        <f t="shared" si="30"/>
        <v>8.6639133960737576E-3</v>
      </c>
      <c r="J481" s="5" t="str">
        <f t="shared" si="31"/>
        <v>低风险用户</v>
      </c>
    </row>
    <row r="482" spans="1:10" x14ac:dyDescent="0.3">
      <c r="A482" s="1">
        <v>45652</v>
      </c>
      <c r="B482" s="2">
        <v>3569.99</v>
      </c>
      <c r="C482" s="2">
        <v>3554.91</v>
      </c>
      <c r="D482" s="2">
        <v>3572.81</v>
      </c>
      <c r="E482" s="2">
        <v>3533.68</v>
      </c>
      <c r="F482" t="s">
        <v>484</v>
      </c>
      <c r="G482" s="3">
        <f t="shared" si="28"/>
        <v>-9.3075401065067908E-3</v>
      </c>
      <c r="H482">
        <f t="shared" si="29"/>
        <v>3516.1805000000008</v>
      </c>
      <c r="I482" s="3">
        <f t="shared" si="30"/>
        <v>8.3667004682316699E-3</v>
      </c>
      <c r="J482" s="5" t="str">
        <f t="shared" si="31"/>
        <v>低风险用户</v>
      </c>
    </row>
    <row r="483" spans="1:10" x14ac:dyDescent="0.3">
      <c r="A483" s="1">
        <v>45653</v>
      </c>
      <c r="B483" s="2">
        <v>3562.22</v>
      </c>
      <c r="C483" s="2">
        <v>3571.79</v>
      </c>
      <c r="D483" s="2">
        <v>3597.46</v>
      </c>
      <c r="E483" s="2">
        <v>3545.61</v>
      </c>
      <c r="F483" t="s">
        <v>485</v>
      </c>
      <c r="G483" s="3">
        <f t="shared" si="28"/>
        <v>-2.1764766848086361E-3</v>
      </c>
      <c r="H483">
        <f t="shared" si="29"/>
        <v>3505.9274999999993</v>
      </c>
      <c r="I483" s="3">
        <f t="shared" si="30"/>
        <v>8.4658766167406869E-3</v>
      </c>
      <c r="J483" s="5" t="str">
        <f t="shared" si="31"/>
        <v>低风险用户</v>
      </c>
    </row>
    <row r="484" spans="1:10" x14ac:dyDescent="0.3">
      <c r="A484" s="1">
        <v>45656</v>
      </c>
      <c r="B484" s="2">
        <v>3572.36</v>
      </c>
      <c r="C484" s="2">
        <v>3594.42</v>
      </c>
      <c r="D484" s="2">
        <v>3594.42</v>
      </c>
      <c r="E484" s="2">
        <v>3563.37</v>
      </c>
      <c r="F484" t="s">
        <v>486</v>
      </c>
      <c r="G484" s="3">
        <f t="shared" si="28"/>
        <v>2.8465395174919932E-3</v>
      </c>
      <c r="H484">
        <f t="shared" si="29"/>
        <v>3494.9980000000005</v>
      </c>
      <c r="I484" s="3">
        <f t="shared" si="30"/>
        <v>8.4975813242469996E-3</v>
      </c>
      <c r="J484" s="5" t="str">
        <f t="shared" si="31"/>
        <v>低风险用户</v>
      </c>
    </row>
    <row r="485" spans="1:10" x14ac:dyDescent="0.3">
      <c r="A485" s="1">
        <v>45657</v>
      </c>
      <c r="B485" s="2">
        <v>3597.49</v>
      </c>
      <c r="C485" s="2">
        <v>3592.58</v>
      </c>
      <c r="D485" s="2">
        <v>3605.7</v>
      </c>
      <c r="E485" s="2">
        <v>3574.21</v>
      </c>
      <c r="F485" t="s">
        <v>487</v>
      </c>
      <c r="G485" s="3">
        <f t="shared" si="28"/>
        <v>7.0345653853474046E-3</v>
      </c>
      <c r="H485">
        <f t="shared" si="29"/>
        <v>3481.9645000000005</v>
      </c>
      <c r="I485" s="3">
        <f t="shared" si="30"/>
        <v>8.4911310119558381E-3</v>
      </c>
      <c r="J485" s="5" t="str">
        <f t="shared" si="31"/>
        <v>低风险用户</v>
      </c>
    </row>
    <row r="486" spans="1:10" x14ac:dyDescent="0.3">
      <c r="A486" s="1">
        <v>45659</v>
      </c>
      <c r="B486" s="2">
        <v>3589.26</v>
      </c>
      <c r="C486" s="2">
        <v>3545.94</v>
      </c>
      <c r="D486" s="2">
        <v>3589.26</v>
      </c>
      <c r="E486" s="2">
        <v>3542.28</v>
      </c>
      <c r="F486" t="s">
        <v>488</v>
      </c>
      <c r="G486" s="3">
        <f t="shared" si="28"/>
        <v>-2.2877061506771565E-3</v>
      </c>
      <c r="H486">
        <f t="shared" si="29"/>
        <v>3462.1109999999994</v>
      </c>
      <c r="I486" s="3">
        <f t="shared" si="30"/>
        <v>1.0418223303374684E-2</v>
      </c>
      <c r="J486" s="5" t="str">
        <f t="shared" si="31"/>
        <v>高风险用户</v>
      </c>
    </row>
    <row r="487" spans="1:10" x14ac:dyDescent="0.3">
      <c r="A487" s="1">
        <v>45660</v>
      </c>
      <c r="B487" s="2">
        <v>3544.91</v>
      </c>
      <c r="C487" s="2">
        <v>3529.55</v>
      </c>
      <c r="D487" s="2">
        <v>3548.51</v>
      </c>
      <c r="E487" s="2">
        <v>3511.58</v>
      </c>
      <c r="F487" t="s">
        <v>489</v>
      </c>
      <c r="G487" s="3">
        <f t="shared" si="28"/>
        <v>-1.2356307428272224E-2</v>
      </c>
      <c r="H487">
        <f t="shared" si="29"/>
        <v>3441.6295000000005</v>
      </c>
      <c r="I487" s="3">
        <f t="shared" si="30"/>
        <v>1.038645632158655E-2</v>
      </c>
      <c r="J487" s="5" t="str">
        <f t="shared" si="31"/>
        <v>高风险用户</v>
      </c>
    </row>
    <row r="488" spans="1:10" x14ac:dyDescent="0.3">
      <c r="A488" s="1">
        <v>45663</v>
      </c>
      <c r="B488" s="2">
        <v>3529.72</v>
      </c>
      <c r="C488" s="2">
        <v>3548.1</v>
      </c>
      <c r="D488" s="2">
        <v>3569.92</v>
      </c>
      <c r="E488" s="2">
        <v>3522.9</v>
      </c>
      <c r="F488" t="s">
        <v>490</v>
      </c>
      <c r="G488" s="3">
        <f t="shared" si="28"/>
        <v>-4.2850171090380446E-3</v>
      </c>
      <c r="H488">
        <f t="shared" si="29"/>
        <v>3425.2694999999999</v>
      </c>
      <c r="I488" s="3">
        <f t="shared" si="30"/>
        <v>1.1007880516131951E-2</v>
      </c>
      <c r="J488" s="5" t="str">
        <f t="shared" si="31"/>
        <v>高风险用户</v>
      </c>
    </row>
    <row r="489" spans="1:10" x14ac:dyDescent="0.3">
      <c r="A489" s="1">
        <v>45664</v>
      </c>
      <c r="B489" s="2">
        <v>3551.05</v>
      </c>
      <c r="C489" s="2">
        <v>3556.53</v>
      </c>
      <c r="D489" s="2">
        <v>3577.39</v>
      </c>
      <c r="E489" s="2">
        <v>3545.1</v>
      </c>
      <c r="F489" t="s">
        <v>491</v>
      </c>
      <c r="G489" s="3">
        <f t="shared" si="28"/>
        <v>6.0429722470905292E-3</v>
      </c>
      <c r="H489">
        <f t="shared" si="29"/>
        <v>3409.5509999999995</v>
      </c>
      <c r="I489" s="3">
        <f t="shared" si="30"/>
        <v>1.1044741817215238E-2</v>
      </c>
      <c r="J489" s="5" t="str">
        <f t="shared" si="31"/>
        <v>高风险用户</v>
      </c>
    </row>
    <row r="490" spans="1:10" x14ac:dyDescent="0.3">
      <c r="A490" s="1">
        <v>45665</v>
      </c>
      <c r="B490" s="2">
        <v>3565.51</v>
      </c>
      <c r="C490" s="2">
        <v>3524.96</v>
      </c>
      <c r="D490" s="2">
        <v>3570.69</v>
      </c>
      <c r="E490" s="2">
        <v>3519.08</v>
      </c>
      <c r="F490" t="s">
        <v>492</v>
      </c>
      <c r="G490" s="3">
        <f t="shared" si="28"/>
        <v>4.0720350318919855E-3</v>
      </c>
      <c r="H490">
        <f t="shared" si="29"/>
        <v>3394.2504999999996</v>
      </c>
      <c r="I490" s="3">
        <f t="shared" si="30"/>
        <v>1.1228019330147658E-2</v>
      </c>
      <c r="J490" s="5" t="str">
        <f t="shared" si="31"/>
        <v>高风险用户</v>
      </c>
    </row>
    <row r="491" spans="1:10" x14ac:dyDescent="0.3">
      <c r="A491" s="1">
        <v>45666</v>
      </c>
      <c r="B491" s="2">
        <v>3540.87</v>
      </c>
      <c r="C491" s="2">
        <v>3538.37</v>
      </c>
      <c r="D491" s="2">
        <v>3548.69</v>
      </c>
      <c r="E491" s="2">
        <v>3519.76</v>
      </c>
      <c r="F491" t="s">
        <v>493</v>
      </c>
      <c r="G491" s="3">
        <f t="shared" si="28"/>
        <v>-6.9106523330464157E-3</v>
      </c>
      <c r="H491">
        <f t="shared" si="29"/>
        <v>3381.1729999999998</v>
      </c>
      <c r="I491" s="3">
        <f t="shared" si="30"/>
        <v>1.2190190985247113E-2</v>
      </c>
      <c r="J491" s="5" t="str">
        <f t="shared" si="31"/>
        <v>高风险用户</v>
      </c>
    </row>
    <row r="492" spans="1:10" x14ac:dyDescent="0.3">
      <c r="A492" s="1">
        <v>45667</v>
      </c>
      <c r="B492" s="2">
        <v>3537.8</v>
      </c>
      <c r="C492" s="2">
        <v>3515.06</v>
      </c>
      <c r="D492" s="2">
        <v>3544.36</v>
      </c>
      <c r="E492" s="2">
        <v>3503.46</v>
      </c>
      <c r="F492" t="s">
        <v>494</v>
      </c>
      <c r="G492" s="3">
        <f t="shared" si="28"/>
        <v>-8.6701855758604775E-4</v>
      </c>
      <c r="H492">
        <f t="shared" si="29"/>
        <v>3370.8204999999994</v>
      </c>
      <c r="I492" s="3">
        <f t="shared" si="30"/>
        <v>1.2489207140125004E-2</v>
      </c>
      <c r="J492" s="5" t="str">
        <f t="shared" si="31"/>
        <v>高风险用户</v>
      </c>
    </row>
    <row r="493" spans="1:10" x14ac:dyDescent="0.3">
      <c r="A493" s="1">
        <v>45670</v>
      </c>
      <c r="B493" s="2">
        <v>3516.08</v>
      </c>
      <c r="C493" s="2">
        <v>3437.9</v>
      </c>
      <c r="D493" s="2">
        <v>3516.08</v>
      </c>
      <c r="E493" s="2">
        <v>3437.9</v>
      </c>
      <c r="F493" t="s">
        <v>495</v>
      </c>
      <c r="G493" s="3">
        <f t="shared" si="28"/>
        <v>-6.1394086720561519E-3</v>
      </c>
      <c r="H493">
        <f t="shared" si="29"/>
        <v>3361.0765000000001</v>
      </c>
      <c r="I493" s="3">
        <f t="shared" si="30"/>
        <v>1.2546293137619622E-2</v>
      </c>
      <c r="J493" s="5" t="str">
        <f t="shared" si="31"/>
        <v>高风险用户</v>
      </c>
    </row>
    <row r="494" spans="1:10" x14ac:dyDescent="0.3">
      <c r="A494" s="1">
        <v>45671</v>
      </c>
      <c r="B494" s="2">
        <v>3450.26</v>
      </c>
      <c r="C494" s="2">
        <v>3499.83</v>
      </c>
      <c r="D494" s="2">
        <v>3521.66</v>
      </c>
      <c r="E494" s="2">
        <v>3450.26</v>
      </c>
      <c r="F494" t="s">
        <v>496</v>
      </c>
      <c r="G494" s="3">
        <f t="shared" si="28"/>
        <v>-1.8719710586789753E-2</v>
      </c>
      <c r="H494">
        <f t="shared" si="29"/>
        <v>3349.1279999999992</v>
      </c>
      <c r="I494" s="3">
        <f t="shared" si="30"/>
        <v>1.3092494011730963E-2</v>
      </c>
      <c r="J494" s="5" t="str">
        <f t="shared" si="31"/>
        <v>高风险用户</v>
      </c>
    </row>
    <row r="495" spans="1:10" x14ac:dyDescent="0.3">
      <c r="A495" s="1">
        <v>45672</v>
      </c>
      <c r="B495" s="2">
        <v>3494.79</v>
      </c>
      <c r="C495" s="2">
        <v>3440.05</v>
      </c>
      <c r="D495" s="2">
        <v>3494.79</v>
      </c>
      <c r="E495" s="2">
        <v>3437.44</v>
      </c>
      <c r="F495" t="s">
        <v>497</v>
      </c>
      <c r="G495" s="3">
        <f t="shared" si="28"/>
        <v>1.2906273730095629E-2</v>
      </c>
      <c r="H495">
        <f t="shared" si="29"/>
        <v>3338.2114999999999</v>
      </c>
      <c r="I495" s="3">
        <f t="shared" si="30"/>
        <v>1.283320423698958E-2</v>
      </c>
      <c r="J495" s="5" t="str">
        <f t="shared" si="31"/>
        <v>高风险用户</v>
      </c>
    </row>
    <row r="496" spans="1:10" x14ac:dyDescent="0.3">
      <c r="A496" s="1">
        <v>45673</v>
      </c>
      <c r="B496" s="2">
        <v>3453.36</v>
      </c>
      <c r="C496" s="2">
        <v>3485.54</v>
      </c>
      <c r="D496" s="2">
        <v>3492.61</v>
      </c>
      <c r="E496" s="2">
        <v>3445.39</v>
      </c>
      <c r="F496" t="s">
        <v>498</v>
      </c>
      <c r="G496" s="3">
        <f t="shared" si="28"/>
        <v>-1.185478955817083E-2</v>
      </c>
      <c r="H496">
        <f t="shared" si="29"/>
        <v>3324.4169999999999</v>
      </c>
      <c r="I496" s="3">
        <f t="shared" si="30"/>
        <v>1.2261606027285469E-2</v>
      </c>
      <c r="J496" s="5" t="str">
        <f t="shared" si="31"/>
        <v>高风险用户</v>
      </c>
    </row>
    <row r="497" spans="1:10" x14ac:dyDescent="0.3">
      <c r="A497" s="1">
        <v>45674</v>
      </c>
      <c r="B497" s="2">
        <v>3489.74</v>
      </c>
      <c r="C497" s="2">
        <v>3491.34</v>
      </c>
      <c r="D497" s="2">
        <v>3507.56</v>
      </c>
      <c r="E497" s="2">
        <v>3472.97</v>
      </c>
      <c r="F497" t="s">
        <v>499</v>
      </c>
      <c r="G497" s="3">
        <f t="shared" si="28"/>
        <v>1.0534667685963714E-2</v>
      </c>
      <c r="H497">
        <f t="shared" si="29"/>
        <v>3315.2379999999998</v>
      </c>
      <c r="I497" s="3">
        <f t="shared" si="30"/>
        <v>1.2877306176042205E-2</v>
      </c>
      <c r="J497" s="5" t="str">
        <f t="shared" si="31"/>
        <v>高风险用户</v>
      </c>
    </row>
    <row r="498" spans="1:10" x14ac:dyDescent="0.3">
      <c r="A498" s="1">
        <v>45677</v>
      </c>
      <c r="B498" s="2">
        <v>3486.67</v>
      </c>
      <c r="C498" s="2">
        <v>3450.35</v>
      </c>
      <c r="D498" s="2">
        <v>3486.68</v>
      </c>
      <c r="E498" s="2">
        <v>3448.41</v>
      </c>
      <c r="F498" t="s">
        <v>500</v>
      </c>
      <c r="G498" s="3">
        <f t="shared" si="28"/>
        <v>-8.7972169846455874E-4</v>
      </c>
      <c r="H498">
        <f t="shared" si="29"/>
        <v>3304.4875000000002</v>
      </c>
      <c r="I498" s="3">
        <f t="shared" si="30"/>
        <v>1.2544950081806158E-2</v>
      </c>
      <c r="J498" s="5" t="str">
        <f t="shared" si="31"/>
        <v>高风险用户</v>
      </c>
    </row>
    <row r="499" spans="1:10" x14ac:dyDescent="0.3">
      <c r="A499" s="1">
        <v>45678</v>
      </c>
      <c r="B499" s="2">
        <v>3456.87</v>
      </c>
      <c r="C499" s="2">
        <v>3390.36</v>
      </c>
      <c r="D499" s="2">
        <v>3500.13</v>
      </c>
      <c r="E499" s="2">
        <v>3383.69</v>
      </c>
      <c r="F499" t="s">
        <v>501</v>
      </c>
      <c r="G499" s="3">
        <f t="shared" si="28"/>
        <v>-8.5468369533108039E-3</v>
      </c>
      <c r="H499">
        <f t="shared" si="29"/>
        <v>3291.6080000000002</v>
      </c>
      <c r="I499" s="3">
        <f t="shared" si="30"/>
        <v>1.2761385509578324E-2</v>
      </c>
      <c r="J499" s="5" t="str">
        <f t="shared" si="31"/>
        <v>高风险用户</v>
      </c>
    </row>
    <row r="500" spans="1:10" x14ac:dyDescent="0.3">
      <c r="A500" s="1">
        <v>45679</v>
      </c>
      <c r="B500" s="2">
        <v>3410.85</v>
      </c>
      <c r="C500" s="2">
        <v>3395.19</v>
      </c>
      <c r="D500" s="2">
        <v>3415.89</v>
      </c>
      <c r="E500" s="2">
        <v>3380.1</v>
      </c>
      <c r="F500" t="s">
        <v>502</v>
      </c>
      <c r="G500" s="3">
        <f t="shared" si="28"/>
        <v>-1.3312620954794361E-2</v>
      </c>
      <c r="H500">
        <f t="shared" si="29"/>
        <v>3283.8085000000001</v>
      </c>
      <c r="I500" s="3">
        <f t="shared" si="30"/>
        <v>1.3953318012973058E-2</v>
      </c>
      <c r="J500" s="5" t="str">
        <f t="shared" si="31"/>
        <v>高风险用户</v>
      </c>
    </row>
    <row r="501" spans="1:10" x14ac:dyDescent="0.3">
      <c r="A501" s="1">
        <v>45680</v>
      </c>
      <c r="B501" s="2">
        <v>3403.81</v>
      </c>
      <c r="C501" s="2">
        <v>3393.19</v>
      </c>
      <c r="D501" s="2">
        <v>3403.81</v>
      </c>
      <c r="E501" s="2">
        <v>3364.14</v>
      </c>
      <c r="F501" t="s">
        <v>503</v>
      </c>
      <c r="G501" s="3">
        <f t="shared" si="28"/>
        <v>-2.0640016418194771E-3</v>
      </c>
      <c r="H501">
        <f t="shared" si="29"/>
        <v>3277.3120000000004</v>
      </c>
      <c r="I501" s="3">
        <f t="shared" si="30"/>
        <v>1.3742112434550115E-2</v>
      </c>
      <c r="J501" s="5" t="str">
        <f t="shared" si="31"/>
        <v>高风险用户</v>
      </c>
    </row>
    <row r="502" spans="1:10" x14ac:dyDescent="0.3">
      <c r="A502" s="1">
        <v>45681</v>
      </c>
      <c r="B502" s="2">
        <v>3364.93</v>
      </c>
      <c r="C502" s="2">
        <v>3351.41</v>
      </c>
      <c r="D502" s="2">
        <v>3367.21</v>
      </c>
      <c r="E502" s="2">
        <v>3336.98</v>
      </c>
      <c r="F502" t="s">
        <v>504</v>
      </c>
      <c r="G502" s="3">
        <f t="shared" si="28"/>
        <v>-1.1422494205023228E-2</v>
      </c>
      <c r="H502">
        <f t="shared" si="29"/>
        <v>3271.33</v>
      </c>
      <c r="I502" s="3">
        <f t="shared" si="30"/>
        <v>1.3756574804218954E-2</v>
      </c>
      <c r="J502" s="5" t="str">
        <f t="shared" si="31"/>
        <v>高风险用户</v>
      </c>
    </row>
    <row r="503" spans="1:10" x14ac:dyDescent="0.3">
      <c r="A503" s="1">
        <v>45684</v>
      </c>
      <c r="B503" s="2">
        <v>3343.63</v>
      </c>
      <c r="C503" s="2">
        <v>3314.03</v>
      </c>
      <c r="D503" s="2">
        <v>3343.63</v>
      </c>
      <c r="E503" s="2">
        <v>3289.67</v>
      </c>
      <c r="F503" t="s">
        <v>505</v>
      </c>
      <c r="G503" s="3">
        <f t="shared" si="28"/>
        <v>-6.3299979494372029E-3</v>
      </c>
      <c r="H503">
        <f t="shared" si="29"/>
        <v>3267.8669999999997</v>
      </c>
      <c r="I503" s="3">
        <f t="shared" si="30"/>
        <v>1.3605212518203836E-2</v>
      </c>
      <c r="J503" s="5" t="str">
        <f t="shared" si="31"/>
        <v>高风险用户</v>
      </c>
    </row>
    <row r="504" spans="1:10" x14ac:dyDescent="0.3">
      <c r="A504" s="1">
        <v>45693</v>
      </c>
      <c r="B504" s="2">
        <v>3311.69</v>
      </c>
      <c r="C504" s="2">
        <v>3185.25</v>
      </c>
      <c r="D504" s="2">
        <v>3314.51</v>
      </c>
      <c r="E504" s="2">
        <v>3182.82</v>
      </c>
      <c r="F504" t="s">
        <v>506</v>
      </c>
      <c r="G504" s="3">
        <f t="shared" si="28"/>
        <v>-9.5524923511273833E-3</v>
      </c>
      <c r="H504">
        <f t="shared" si="29"/>
        <v>3264.5419999999999</v>
      </c>
      <c r="I504" s="3">
        <f t="shared" si="30"/>
        <v>1.3591459145252619E-2</v>
      </c>
      <c r="J504" s="5" t="str">
        <f t="shared" si="31"/>
        <v>高风险用户</v>
      </c>
    </row>
    <row r="505" spans="1:10" x14ac:dyDescent="0.3">
      <c r="A505" s="1">
        <v>45694</v>
      </c>
      <c r="B505" s="2">
        <v>3200.42</v>
      </c>
      <c r="C505" s="2">
        <v>3164.25</v>
      </c>
      <c r="D505" s="2">
        <v>3233.85</v>
      </c>
      <c r="E505" s="2">
        <v>3111.52</v>
      </c>
      <c r="F505" t="s">
        <v>507</v>
      </c>
      <c r="G505" s="3">
        <f t="shared" si="28"/>
        <v>-3.3599159341605032E-2</v>
      </c>
      <c r="H505">
        <f t="shared" si="29"/>
        <v>3263.5824999999995</v>
      </c>
      <c r="I505" s="3">
        <f t="shared" si="30"/>
        <v>1.3487846484296021E-2</v>
      </c>
      <c r="J505" s="5" t="str">
        <f t="shared" si="31"/>
        <v>高风险用户</v>
      </c>
    </row>
    <row r="506" spans="1:10" x14ac:dyDescent="0.3">
      <c r="A506" s="1">
        <v>45695</v>
      </c>
      <c r="B506" s="2">
        <v>3179.63</v>
      </c>
      <c r="C506" s="2">
        <v>3219.87</v>
      </c>
      <c r="D506" s="2">
        <v>3235.41</v>
      </c>
      <c r="E506" s="2">
        <v>3108.35</v>
      </c>
      <c r="F506" t="s">
        <v>508</v>
      </c>
      <c r="G506" s="3">
        <f t="shared" si="28"/>
        <v>-6.4960223970603739E-3</v>
      </c>
      <c r="H506">
        <f t="shared" si="29"/>
        <v>3267.8644999999997</v>
      </c>
      <c r="I506" s="3">
        <f t="shared" si="30"/>
        <v>1.0988665629363525E-2</v>
      </c>
      <c r="J506" s="5" t="str">
        <f t="shared" si="31"/>
        <v>高风险用户</v>
      </c>
    </row>
    <row r="507" spans="1:10" x14ac:dyDescent="0.3">
      <c r="A507" s="1">
        <v>45698</v>
      </c>
      <c r="B507" s="2">
        <v>3217.71</v>
      </c>
      <c r="C507" s="2">
        <v>3202.26</v>
      </c>
      <c r="D507" s="2">
        <v>3251.76</v>
      </c>
      <c r="E507" s="2">
        <v>3191.9</v>
      </c>
      <c r="F507" t="s">
        <v>509</v>
      </c>
      <c r="G507" s="3">
        <f t="shared" si="28"/>
        <v>1.1976236228743572E-2</v>
      </c>
      <c r="H507">
        <f t="shared" si="29"/>
        <v>3275.3384999999994</v>
      </c>
      <c r="I507" s="3">
        <f t="shared" si="30"/>
        <v>1.1122445412212759E-2</v>
      </c>
      <c r="J507" s="5" t="str">
        <f t="shared" si="31"/>
        <v>高风险用户</v>
      </c>
    </row>
    <row r="508" spans="1:10" x14ac:dyDescent="0.3">
      <c r="A508" s="1">
        <v>45699</v>
      </c>
      <c r="B508" s="2">
        <v>3215.35</v>
      </c>
      <c r="C508" s="2">
        <v>3231.54</v>
      </c>
      <c r="D508" s="2">
        <v>3252.15</v>
      </c>
      <c r="E508" s="2">
        <v>3201.93</v>
      </c>
      <c r="F508" t="s">
        <v>510</v>
      </c>
      <c r="G508" s="3">
        <f t="shared" si="28"/>
        <v>-7.3344086322264194E-4</v>
      </c>
      <c r="H508">
        <f t="shared" si="29"/>
        <v>3281.8054999999995</v>
      </c>
      <c r="I508" s="3">
        <f t="shared" si="30"/>
        <v>1.0918302545926312E-2</v>
      </c>
      <c r="J508" s="5" t="str">
        <f t="shared" si="31"/>
        <v>高风险用户</v>
      </c>
    </row>
    <row r="509" spans="1:10" x14ac:dyDescent="0.3">
      <c r="A509" s="1">
        <v>45700</v>
      </c>
      <c r="B509" s="2">
        <v>3245.04</v>
      </c>
      <c r="C509" s="2">
        <v>3283.9</v>
      </c>
      <c r="D509" s="2">
        <v>3300.2</v>
      </c>
      <c r="E509" s="2">
        <v>3244.97</v>
      </c>
      <c r="F509" t="s">
        <v>511</v>
      </c>
      <c r="G509" s="3">
        <f t="shared" si="28"/>
        <v>9.2338314646928186E-3</v>
      </c>
      <c r="H509">
        <f t="shared" si="29"/>
        <v>3289.9529999999991</v>
      </c>
      <c r="I509" s="3">
        <f t="shared" si="30"/>
        <v>1.1015962743376259E-2</v>
      </c>
      <c r="J509" s="5" t="str">
        <f t="shared" si="31"/>
        <v>高风险用户</v>
      </c>
    </row>
    <row r="510" spans="1:10" x14ac:dyDescent="0.3">
      <c r="A510" s="1">
        <v>45701</v>
      </c>
      <c r="B510" s="2">
        <v>3303.96</v>
      </c>
      <c r="C510" s="2">
        <v>3335.39</v>
      </c>
      <c r="D510" s="2">
        <v>3351.37</v>
      </c>
      <c r="E510" s="2">
        <v>3303.96</v>
      </c>
      <c r="F510" t="s">
        <v>512</v>
      </c>
      <c r="G510" s="3">
        <f t="shared" si="28"/>
        <v>1.8156941054655745E-2</v>
      </c>
      <c r="H510">
        <f t="shared" si="29"/>
        <v>3297.0184999999997</v>
      </c>
      <c r="I510" s="3">
        <f t="shared" si="30"/>
        <v>1.0902545874184886E-2</v>
      </c>
      <c r="J510" s="5" t="str">
        <f t="shared" si="31"/>
        <v>高风险用户</v>
      </c>
    </row>
    <row r="511" spans="1:10" x14ac:dyDescent="0.3">
      <c r="A511" s="1">
        <v>45702</v>
      </c>
      <c r="B511" s="2">
        <v>3333.82</v>
      </c>
      <c r="C511" s="2">
        <v>3326.65</v>
      </c>
      <c r="D511" s="2">
        <v>3351.97</v>
      </c>
      <c r="E511" s="2">
        <v>3315.13</v>
      </c>
      <c r="F511" t="s">
        <v>513</v>
      </c>
      <c r="G511" s="3">
        <f t="shared" si="28"/>
        <v>9.0376396808678448E-3</v>
      </c>
      <c r="H511">
        <f t="shared" si="29"/>
        <v>3303.3759999999993</v>
      </c>
      <c r="I511" s="3">
        <f t="shared" si="30"/>
        <v>1.0572786860281841E-2</v>
      </c>
      <c r="J511" s="5" t="str">
        <f t="shared" si="31"/>
        <v>高风险用户</v>
      </c>
    </row>
    <row r="512" spans="1:10" x14ac:dyDescent="0.3">
      <c r="A512" s="1">
        <v>45705</v>
      </c>
      <c r="B512" s="2">
        <v>3342.92</v>
      </c>
      <c r="C512" s="2">
        <v>3274.34</v>
      </c>
      <c r="D512" s="2">
        <v>3344.24</v>
      </c>
      <c r="E512" s="2">
        <v>3269.79</v>
      </c>
      <c r="F512" t="s">
        <v>514</v>
      </c>
      <c r="G512" s="3">
        <f t="shared" si="28"/>
        <v>2.7296014781841575E-3</v>
      </c>
      <c r="H512">
        <f t="shared" si="29"/>
        <v>3307.4120000000003</v>
      </c>
      <c r="I512" s="3">
        <f t="shared" si="30"/>
        <v>1.0537670863731819E-2</v>
      </c>
      <c r="J512" s="5" t="str">
        <f t="shared" si="31"/>
        <v>高风险用户</v>
      </c>
    </row>
    <row r="513" spans="1:10" x14ac:dyDescent="0.3">
      <c r="A513" s="1">
        <v>45706</v>
      </c>
      <c r="B513" s="2">
        <v>3277.11</v>
      </c>
      <c r="C513" s="2">
        <v>3245.96</v>
      </c>
      <c r="D513" s="2">
        <v>3281.49</v>
      </c>
      <c r="E513" s="2">
        <v>3190.47</v>
      </c>
      <c r="F513" t="s">
        <v>515</v>
      </c>
      <c r="G513" s="3">
        <f t="shared" si="28"/>
        <v>-1.9686381965467299E-2</v>
      </c>
      <c r="H513">
        <f t="shared" si="29"/>
        <v>3307.0839999999998</v>
      </c>
      <c r="I513" s="3">
        <f t="shared" si="30"/>
        <v>1.1827273723021574E-2</v>
      </c>
      <c r="J513" s="5" t="str">
        <f t="shared" si="31"/>
        <v>高风险用户</v>
      </c>
    </row>
    <row r="514" spans="1:10" x14ac:dyDescent="0.3">
      <c r="A514" s="1">
        <v>45707</v>
      </c>
      <c r="B514" s="2">
        <v>3231.93</v>
      </c>
      <c r="C514" s="2">
        <v>3208.43</v>
      </c>
      <c r="D514" s="2">
        <v>3249.53</v>
      </c>
      <c r="E514" s="2">
        <v>3188.13</v>
      </c>
      <c r="F514" t="s">
        <v>516</v>
      </c>
      <c r="G514" s="3">
        <f t="shared" si="28"/>
        <v>-1.3786537528493181E-2</v>
      </c>
      <c r="H514">
        <f t="shared" si="29"/>
        <v>3309.4679999999998</v>
      </c>
      <c r="I514" s="3">
        <f t="shared" si="30"/>
        <v>1.0930766474871663E-2</v>
      </c>
      <c r="J514" s="5" t="str">
        <f t="shared" si="31"/>
        <v>高风险用户</v>
      </c>
    </row>
    <row r="515" spans="1:10" x14ac:dyDescent="0.3">
      <c r="A515" s="1">
        <v>45708</v>
      </c>
      <c r="B515" s="2">
        <v>3218.9</v>
      </c>
      <c r="C515" s="2">
        <v>3262.47</v>
      </c>
      <c r="D515" s="2">
        <v>3281.42</v>
      </c>
      <c r="E515" s="2">
        <v>3193.18</v>
      </c>
      <c r="F515" t="s">
        <v>517</v>
      </c>
      <c r="G515" s="3">
        <f t="shared" ref="G515:G578" si="32">IFERROR((B515-B514)/B514,"")</f>
        <v>-4.0316467250218124E-3</v>
      </c>
      <c r="H515">
        <f t="shared" ref="H515:H578" si="33">AVERAGE(B515:B534)</f>
        <v>3315.2440000000001</v>
      </c>
      <c r="I515" s="3">
        <f t="shared" ref="I515:I578" si="34">IFERROR(STDEV(G515:G534),"")</f>
        <v>1.0445858047306515E-2</v>
      </c>
      <c r="J515" s="5" t="str">
        <f t="shared" ref="J515:J578" si="35">IF(ROW()&lt;22,"未知",IF(I515&gt;AVERAGE(I:I),"高风险用户","低风险用户"))</f>
        <v>高风险用户</v>
      </c>
    </row>
    <row r="516" spans="1:10" x14ac:dyDescent="0.3">
      <c r="A516" s="1">
        <v>45709</v>
      </c>
      <c r="B516" s="2">
        <v>3269.78</v>
      </c>
      <c r="C516" s="2">
        <v>3261.24</v>
      </c>
      <c r="D516" s="2">
        <v>3286.94</v>
      </c>
      <c r="E516" s="2">
        <v>3251.81</v>
      </c>
      <c r="F516" t="s">
        <v>518</v>
      </c>
      <c r="G516" s="3">
        <f t="shared" si="32"/>
        <v>1.5806642020566065E-2</v>
      </c>
      <c r="H516">
        <f t="shared" si="33"/>
        <v>3321.1605000000004</v>
      </c>
      <c r="I516" s="3">
        <f t="shared" si="34"/>
        <v>1.0419316731255955E-2</v>
      </c>
      <c r="J516" s="5" t="str">
        <f t="shared" si="35"/>
        <v>高风险用户</v>
      </c>
    </row>
    <row r="517" spans="1:10" x14ac:dyDescent="0.3">
      <c r="A517" s="1">
        <v>45712</v>
      </c>
      <c r="B517" s="2">
        <v>3274.73</v>
      </c>
      <c r="C517" s="2">
        <v>3214.28</v>
      </c>
      <c r="D517" s="2">
        <v>3279.25</v>
      </c>
      <c r="E517" s="2">
        <v>3171.63</v>
      </c>
      <c r="F517" t="s">
        <v>519</v>
      </c>
      <c r="G517" s="3">
        <f t="shared" si="32"/>
        <v>1.5138633180213402E-3</v>
      </c>
      <c r="H517">
        <f t="shared" si="33"/>
        <v>3324.2150000000001</v>
      </c>
      <c r="I517" s="3">
        <f t="shared" si="34"/>
        <v>9.9117311216788701E-3</v>
      </c>
      <c r="J517" s="5" t="str">
        <f t="shared" si="35"/>
        <v>高风险用户</v>
      </c>
    </row>
    <row r="518" spans="1:10" x14ac:dyDescent="0.3">
      <c r="A518" s="1">
        <v>45713</v>
      </c>
      <c r="B518" s="2">
        <v>3229.08</v>
      </c>
      <c r="C518" s="2">
        <v>3291.14</v>
      </c>
      <c r="D518" s="2">
        <v>3291.14</v>
      </c>
      <c r="E518" s="2">
        <v>3229.08</v>
      </c>
      <c r="F518" t="s">
        <v>520</v>
      </c>
      <c r="G518" s="3">
        <f t="shared" si="32"/>
        <v>-1.3940080556259627E-2</v>
      </c>
      <c r="H518">
        <f t="shared" si="33"/>
        <v>3325.3535000000002</v>
      </c>
      <c r="I518" s="3">
        <f t="shared" si="34"/>
        <v>1.0209558892850608E-2</v>
      </c>
      <c r="J518" s="5" t="str">
        <f t="shared" si="35"/>
        <v>高风险用户</v>
      </c>
    </row>
    <row r="519" spans="1:10" x14ac:dyDescent="0.3">
      <c r="A519" s="1">
        <v>45714</v>
      </c>
      <c r="B519" s="2">
        <v>3300.88</v>
      </c>
      <c r="C519" s="2">
        <v>3272.57</v>
      </c>
      <c r="D519" s="2">
        <v>3300.88</v>
      </c>
      <c r="E519" s="2">
        <v>3260.44</v>
      </c>
      <c r="F519" t="s">
        <v>521</v>
      </c>
      <c r="G519" s="3">
        <f t="shared" si="32"/>
        <v>2.2235435480074877E-2</v>
      </c>
      <c r="H519">
        <f t="shared" si="33"/>
        <v>3330.6014999999998</v>
      </c>
      <c r="I519" s="3">
        <f t="shared" si="34"/>
        <v>9.8883505830953903E-3</v>
      </c>
      <c r="J519" s="5" t="str">
        <f t="shared" si="35"/>
        <v>高风险用户</v>
      </c>
    </row>
    <row r="520" spans="1:10" x14ac:dyDescent="0.3">
      <c r="A520" s="1">
        <v>45715</v>
      </c>
      <c r="B520" s="2">
        <v>3280.92</v>
      </c>
      <c r="C520" s="2">
        <v>3270.1</v>
      </c>
      <c r="D520" s="2">
        <v>3306.92</v>
      </c>
      <c r="E520" s="2">
        <v>3261.27</v>
      </c>
      <c r="F520" t="s">
        <v>522</v>
      </c>
      <c r="G520" s="3">
        <f t="shared" si="32"/>
        <v>-6.0468723491917415E-3</v>
      </c>
      <c r="H520">
        <f t="shared" si="33"/>
        <v>3332.0260000000003</v>
      </c>
      <c r="I520" s="3">
        <f t="shared" si="34"/>
        <v>8.6306874257336408E-3</v>
      </c>
      <c r="J520" s="5" t="str">
        <f t="shared" si="35"/>
        <v>低风险用户</v>
      </c>
    </row>
    <row r="521" spans="1:10" x14ac:dyDescent="0.3">
      <c r="A521" s="1">
        <v>45716</v>
      </c>
      <c r="B521" s="2">
        <v>3284.17</v>
      </c>
      <c r="C521" s="2">
        <v>3284.36</v>
      </c>
      <c r="D521" s="2">
        <v>3310.47</v>
      </c>
      <c r="E521" s="2">
        <v>3279.7</v>
      </c>
      <c r="F521" t="s">
        <v>523</v>
      </c>
      <c r="G521" s="3">
        <f t="shared" si="32"/>
        <v>9.9057581410092279E-4</v>
      </c>
      <c r="H521">
        <f t="shared" si="33"/>
        <v>3335.0575000000003</v>
      </c>
      <c r="I521" s="3">
        <f t="shared" si="34"/>
        <v>8.5173636065183547E-3</v>
      </c>
      <c r="J521" s="5" t="str">
        <f t="shared" si="35"/>
        <v>低风险用户</v>
      </c>
    </row>
    <row r="522" spans="1:10" x14ac:dyDescent="0.3">
      <c r="A522" s="1">
        <v>45719</v>
      </c>
      <c r="B522" s="2">
        <v>3295.67</v>
      </c>
      <c r="C522" s="2">
        <v>3275.31</v>
      </c>
      <c r="D522" s="2">
        <v>3311.11</v>
      </c>
      <c r="E522" s="2">
        <v>3266.79</v>
      </c>
      <c r="F522" t="s">
        <v>524</v>
      </c>
      <c r="G522" s="3">
        <f t="shared" si="32"/>
        <v>3.5016457735135512E-3</v>
      </c>
      <c r="H522">
        <f t="shared" si="33"/>
        <v>3338.4470000000001</v>
      </c>
      <c r="I522" s="3">
        <f t="shared" si="34"/>
        <v>8.5311288615555307E-3</v>
      </c>
      <c r="J522" s="5" t="str">
        <f t="shared" si="35"/>
        <v>低风险用户</v>
      </c>
    </row>
    <row r="523" spans="1:10" x14ac:dyDescent="0.3">
      <c r="A523" s="1">
        <v>45720</v>
      </c>
      <c r="B523" s="2">
        <v>3277.13</v>
      </c>
      <c r="C523" s="2">
        <v>3281.67</v>
      </c>
      <c r="D523" s="2">
        <v>3312.92</v>
      </c>
      <c r="E523" s="2">
        <v>3268.25</v>
      </c>
      <c r="F523" t="s">
        <v>525</v>
      </c>
      <c r="G523" s="3">
        <f t="shared" si="32"/>
        <v>-5.6255632390378781E-3</v>
      </c>
      <c r="H523">
        <f t="shared" si="33"/>
        <v>3342.1435000000006</v>
      </c>
      <c r="I523" s="3">
        <f t="shared" si="34"/>
        <v>8.566702419955767E-3</v>
      </c>
      <c r="J523" s="5" t="str">
        <f t="shared" si="35"/>
        <v>低风险用户</v>
      </c>
    </row>
    <row r="524" spans="1:10" x14ac:dyDescent="0.3">
      <c r="A524" s="1">
        <v>45721</v>
      </c>
      <c r="B524" s="2">
        <v>3292.5</v>
      </c>
      <c r="C524" s="2">
        <v>3286.71</v>
      </c>
      <c r="D524" s="2">
        <v>3304.6</v>
      </c>
      <c r="E524" s="2">
        <v>3273.84</v>
      </c>
      <c r="F524" t="s">
        <v>526</v>
      </c>
      <c r="G524" s="3">
        <f t="shared" si="32"/>
        <v>4.6900794292566638E-3</v>
      </c>
      <c r="H524">
        <f t="shared" si="33"/>
        <v>3349.6270000000004</v>
      </c>
      <c r="I524" s="3">
        <f t="shared" si="34"/>
        <v>9.1006205960740983E-3</v>
      </c>
      <c r="J524" s="5" t="str">
        <f t="shared" si="35"/>
        <v>低风险用户</v>
      </c>
    </row>
    <row r="525" spans="1:10" x14ac:dyDescent="0.3">
      <c r="A525" s="1">
        <v>45722</v>
      </c>
      <c r="B525" s="2">
        <v>3286.06</v>
      </c>
      <c r="C525" s="2">
        <v>3322.6</v>
      </c>
      <c r="D525" s="2">
        <v>3333.52</v>
      </c>
      <c r="E525" s="2">
        <v>3283.34</v>
      </c>
      <c r="F525" t="s">
        <v>527</v>
      </c>
      <c r="G525" s="3">
        <f t="shared" si="32"/>
        <v>-1.9559605163249976E-3</v>
      </c>
      <c r="H525">
        <f t="shared" si="33"/>
        <v>3355.9745000000012</v>
      </c>
      <c r="I525" s="3">
        <f t="shared" si="34"/>
        <v>9.1334256039702858E-3</v>
      </c>
      <c r="J525" s="5" t="str">
        <f t="shared" si="35"/>
        <v>低风险用户</v>
      </c>
    </row>
    <row r="526" spans="1:10" x14ac:dyDescent="0.3">
      <c r="A526" s="1">
        <v>45723</v>
      </c>
      <c r="B526" s="2">
        <v>3329.11</v>
      </c>
      <c r="C526" s="2">
        <v>3341.31</v>
      </c>
      <c r="D526" s="2">
        <v>3372.54</v>
      </c>
      <c r="E526" s="2">
        <v>3313.55</v>
      </c>
      <c r="F526" t="s">
        <v>528</v>
      </c>
      <c r="G526" s="3">
        <f t="shared" si="32"/>
        <v>1.3100795481518957E-2</v>
      </c>
      <c r="H526">
        <f t="shared" si="33"/>
        <v>3361.6445000000008</v>
      </c>
      <c r="I526" s="3">
        <f t="shared" si="34"/>
        <v>9.2611316939024847E-3</v>
      </c>
      <c r="J526" s="5" t="str">
        <f t="shared" si="35"/>
        <v>低风险用户</v>
      </c>
    </row>
    <row r="527" spans="1:10" x14ac:dyDescent="0.3">
      <c r="A527" s="1">
        <v>45726</v>
      </c>
      <c r="B527" s="2">
        <v>3347.05</v>
      </c>
      <c r="C527" s="2">
        <v>3375.02</v>
      </c>
      <c r="D527" s="2">
        <v>3375.02</v>
      </c>
      <c r="E527" s="2">
        <v>3323.86</v>
      </c>
      <c r="F527" t="s">
        <v>529</v>
      </c>
      <c r="G527" s="3">
        <f t="shared" si="32"/>
        <v>5.388827644625757E-3</v>
      </c>
      <c r="H527">
        <f t="shared" si="33"/>
        <v>3364.7530000000006</v>
      </c>
      <c r="I527" s="3">
        <f t="shared" si="34"/>
        <v>8.901983477650777E-3</v>
      </c>
      <c r="J527" s="5" t="str">
        <f t="shared" si="35"/>
        <v>低风险用户</v>
      </c>
    </row>
    <row r="528" spans="1:10" x14ac:dyDescent="0.3">
      <c r="A528" s="1">
        <v>45727</v>
      </c>
      <c r="B528" s="2">
        <v>3378.3</v>
      </c>
      <c r="C528" s="2">
        <v>3379.75</v>
      </c>
      <c r="D528" s="2">
        <v>3392.85</v>
      </c>
      <c r="E528" s="2">
        <v>3362.66</v>
      </c>
      <c r="F528" t="s">
        <v>530</v>
      </c>
      <c r="G528" s="3">
        <f t="shared" si="32"/>
        <v>9.3365799734094201E-3</v>
      </c>
      <c r="H528">
        <f t="shared" si="33"/>
        <v>3367.3805000000002</v>
      </c>
      <c r="I528" s="3">
        <f t="shared" si="34"/>
        <v>8.8492191811582951E-3</v>
      </c>
      <c r="J528" s="5" t="str">
        <f t="shared" si="35"/>
        <v>低风险用户</v>
      </c>
    </row>
    <row r="529" spans="1:10" x14ac:dyDescent="0.3">
      <c r="A529" s="1">
        <v>45728</v>
      </c>
      <c r="B529" s="2">
        <v>3386.35</v>
      </c>
      <c r="C529" s="2">
        <v>3426.27</v>
      </c>
      <c r="D529" s="2">
        <v>3426.27</v>
      </c>
      <c r="E529" s="2">
        <v>3386.35</v>
      </c>
      <c r="F529" t="s">
        <v>531</v>
      </c>
      <c r="G529" s="3">
        <f t="shared" si="32"/>
        <v>2.3828552822424669E-3</v>
      </c>
      <c r="H529">
        <f t="shared" si="33"/>
        <v>3368.1784999999995</v>
      </c>
      <c r="I529" s="3">
        <f t="shared" si="34"/>
        <v>8.6298869410535318E-3</v>
      </c>
      <c r="J529" s="5" t="str">
        <f t="shared" si="35"/>
        <v>低风险用户</v>
      </c>
    </row>
    <row r="530" spans="1:10" x14ac:dyDescent="0.3">
      <c r="A530" s="1">
        <v>45729</v>
      </c>
      <c r="B530" s="2">
        <v>3431.11</v>
      </c>
      <c r="C530" s="2">
        <v>3411.11</v>
      </c>
      <c r="D530" s="2">
        <v>3432.54</v>
      </c>
      <c r="E530" s="2">
        <v>3409.58</v>
      </c>
      <c r="F530" t="s">
        <v>532</v>
      </c>
      <c r="G530" s="3">
        <f t="shared" si="32"/>
        <v>1.3217771346730319E-2</v>
      </c>
      <c r="H530">
        <f t="shared" si="33"/>
        <v>3371.8679999999999</v>
      </c>
      <c r="I530" s="3">
        <f t="shared" si="34"/>
        <v>9.6309161391069618E-3</v>
      </c>
      <c r="J530" s="5" t="str">
        <f t="shared" si="35"/>
        <v>高风险用户</v>
      </c>
    </row>
    <row r="531" spans="1:10" x14ac:dyDescent="0.3">
      <c r="A531" s="1">
        <v>45730</v>
      </c>
      <c r="B531" s="2">
        <v>3414.54</v>
      </c>
      <c r="C531" s="2">
        <v>3335.56</v>
      </c>
      <c r="D531" s="2">
        <v>3423.4</v>
      </c>
      <c r="E531" s="2">
        <v>3331.21</v>
      </c>
      <c r="F531" t="s">
        <v>533</v>
      </c>
      <c r="G531" s="3">
        <f t="shared" si="32"/>
        <v>-4.829340942144135E-3</v>
      </c>
      <c r="H531">
        <f t="shared" si="33"/>
        <v>3374.4564999999993</v>
      </c>
      <c r="I531" s="3">
        <f t="shared" si="34"/>
        <v>9.3006194613327597E-3</v>
      </c>
      <c r="J531" s="5" t="str">
        <f t="shared" si="35"/>
        <v>低风险用户</v>
      </c>
    </row>
    <row r="532" spans="1:10" x14ac:dyDescent="0.3">
      <c r="A532" s="1">
        <v>45733</v>
      </c>
      <c r="B532" s="2">
        <v>3336.36</v>
      </c>
      <c r="C532" s="2">
        <v>3326.93</v>
      </c>
      <c r="D532" s="2">
        <v>3341.27</v>
      </c>
      <c r="E532" s="2">
        <v>3309.67</v>
      </c>
      <c r="F532" t="s">
        <v>534</v>
      </c>
      <c r="G532" s="3">
        <f t="shared" si="32"/>
        <v>-2.2896202709588944E-2</v>
      </c>
      <c r="H532">
        <f t="shared" si="33"/>
        <v>3378.5394999999999</v>
      </c>
      <c r="I532" s="3">
        <f t="shared" si="34"/>
        <v>9.22642717315212E-3</v>
      </c>
      <c r="J532" s="5" t="str">
        <f t="shared" si="35"/>
        <v>低风险用户</v>
      </c>
    </row>
    <row r="533" spans="1:10" x14ac:dyDescent="0.3">
      <c r="A533" s="1">
        <v>45734</v>
      </c>
      <c r="B533" s="2">
        <v>3324.79</v>
      </c>
      <c r="C533" s="2">
        <v>3345.4</v>
      </c>
      <c r="D533" s="2">
        <v>3345.42</v>
      </c>
      <c r="E533" s="2">
        <v>3315.94</v>
      </c>
      <c r="F533" t="s">
        <v>535</v>
      </c>
      <c r="G533" s="3">
        <f t="shared" si="32"/>
        <v>-3.4678511911185135E-3</v>
      </c>
      <c r="H533">
        <f t="shared" si="33"/>
        <v>3386.1369999999997</v>
      </c>
      <c r="I533" s="3">
        <f t="shared" si="34"/>
        <v>7.3502274963675651E-3</v>
      </c>
      <c r="J533" s="5" t="str">
        <f t="shared" si="35"/>
        <v>低风险用户</v>
      </c>
    </row>
    <row r="534" spans="1:10" x14ac:dyDescent="0.3">
      <c r="A534" s="1">
        <v>45735</v>
      </c>
      <c r="B534" s="2">
        <v>3347.45</v>
      </c>
      <c r="C534" s="2">
        <v>3330.33</v>
      </c>
      <c r="D534" s="2">
        <v>3348.88</v>
      </c>
      <c r="E534" s="2">
        <v>3330.33</v>
      </c>
      <c r="F534" t="s">
        <v>536</v>
      </c>
      <c r="G534" s="3">
        <f t="shared" si="32"/>
        <v>6.8154680445982616E-3</v>
      </c>
      <c r="H534">
        <f t="shared" si="33"/>
        <v>3395.8234999999995</v>
      </c>
      <c r="I534" s="3">
        <f t="shared" si="34"/>
        <v>7.353544935140747E-3</v>
      </c>
      <c r="J534" s="5" t="str">
        <f t="shared" si="35"/>
        <v>低风险用户</v>
      </c>
    </row>
    <row r="535" spans="1:10" x14ac:dyDescent="0.3">
      <c r="A535" s="1">
        <v>45736</v>
      </c>
      <c r="B535" s="2">
        <v>3337.23</v>
      </c>
      <c r="C535" s="2">
        <v>3329.47</v>
      </c>
      <c r="D535" s="2">
        <v>3359.06</v>
      </c>
      <c r="E535" s="2">
        <v>3315.9</v>
      </c>
      <c r="F535" t="s">
        <v>537</v>
      </c>
      <c r="G535" s="3">
        <f t="shared" si="32"/>
        <v>-3.0530702475017701E-3</v>
      </c>
      <c r="H535">
        <f t="shared" si="33"/>
        <v>3404.0479999999989</v>
      </c>
      <c r="I535" s="3">
        <f t="shared" si="34"/>
        <v>7.3641940446864083E-3</v>
      </c>
      <c r="J535" s="5" t="str">
        <f t="shared" si="35"/>
        <v>低风险用户</v>
      </c>
    </row>
    <row r="536" spans="1:10" x14ac:dyDescent="0.3">
      <c r="A536" s="1">
        <v>45737</v>
      </c>
      <c r="B536" s="2">
        <v>3330.87</v>
      </c>
      <c r="C536" s="2">
        <v>3285.6</v>
      </c>
      <c r="D536" s="2">
        <v>3339.36</v>
      </c>
      <c r="E536" s="2">
        <v>3283.99</v>
      </c>
      <c r="F536" t="s">
        <v>538</v>
      </c>
      <c r="G536" s="3">
        <f t="shared" si="32"/>
        <v>-1.9057721523539363E-3</v>
      </c>
      <c r="H536">
        <f t="shared" si="33"/>
        <v>3414.0869999999995</v>
      </c>
      <c r="I536" s="3">
        <f t="shared" si="34"/>
        <v>7.3263763555615887E-3</v>
      </c>
      <c r="J536" s="5" t="str">
        <f t="shared" si="35"/>
        <v>低风险用户</v>
      </c>
    </row>
    <row r="537" spans="1:10" x14ac:dyDescent="0.3">
      <c r="A537" s="1">
        <v>45740</v>
      </c>
      <c r="B537" s="2">
        <v>3297.5</v>
      </c>
      <c r="C537" s="2">
        <v>3334.33</v>
      </c>
      <c r="D537" s="2">
        <v>3338.54</v>
      </c>
      <c r="E537" s="2">
        <v>3297.37</v>
      </c>
      <c r="F537" t="s">
        <v>539</v>
      </c>
      <c r="G537" s="3">
        <f t="shared" si="32"/>
        <v>-1.001840360026056E-2</v>
      </c>
      <c r="H537">
        <f t="shared" si="33"/>
        <v>3425.6194999999993</v>
      </c>
      <c r="I537" s="3">
        <f t="shared" si="34"/>
        <v>7.2773808255438052E-3</v>
      </c>
      <c r="J537" s="5" t="str">
        <f t="shared" si="35"/>
        <v>低风险用户</v>
      </c>
    </row>
    <row r="538" spans="1:10" x14ac:dyDescent="0.3">
      <c r="A538" s="1">
        <v>45741</v>
      </c>
      <c r="B538" s="2">
        <v>3334.04</v>
      </c>
      <c r="C538" s="2">
        <v>3325.66</v>
      </c>
      <c r="D538" s="2">
        <v>3345.78</v>
      </c>
      <c r="E538" s="2">
        <v>3313.19</v>
      </c>
      <c r="F538" t="s">
        <v>540</v>
      </c>
      <c r="G538" s="3">
        <f t="shared" si="32"/>
        <v>1.1081122062168299E-2</v>
      </c>
      <c r="H538">
        <f t="shared" si="33"/>
        <v>3437.9654999999993</v>
      </c>
      <c r="I538" s="3">
        <f t="shared" si="34"/>
        <v>6.8530383309549602E-3</v>
      </c>
      <c r="J538" s="5" t="str">
        <f t="shared" si="35"/>
        <v>低风险用户</v>
      </c>
    </row>
    <row r="539" spans="1:10" x14ac:dyDescent="0.3">
      <c r="A539" s="1">
        <v>45742</v>
      </c>
      <c r="B539" s="2">
        <v>3329.37</v>
      </c>
      <c r="C539" s="2">
        <v>3329.19</v>
      </c>
      <c r="D539" s="2">
        <v>3352.35</v>
      </c>
      <c r="E539" s="2">
        <v>3314.91</v>
      </c>
      <c r="F539" t="s">
        <v>541</v>
      </c>
      <c r="G539" s="3">
        <f t="shared" si="32"/>
        <v>-1.4007030509532198E-3</v>
      </c>
      <c r="H539">
        <f t="shared" si="33"/>
        <v>3450.317</v>
      </c>
      <c r="I539" s="3">
        <f t="shared" si="34"/>
        <v>6.8125743778297389E-3</v>
      </c>
      <c r="J539" s="5" t="str">
        <f t="shared" si="35"/>
        <v>低风险用户</v>
      </c>
    </row>
    <row r="540" spans="1:10" x14ac:dyDescent="0.3">
      <c r="A540" s="1">
        <v>45743</v>
      </c>
      <c r="B540" s="2">
        <v>3341.55</v>
      </c>
      <c r="C540" s="2">
        <v>3365.94</v>
      </c>
      <c r="D540" s="2">
        <v>3388.5</v>
      </c>
      <c r="E540" s="2">
        <v>3339.52</v>
      </c>
      <c r="F540" t="s">
        <v>542</v>
      </c>
      <c r="G540" s="3">
        <f t="shared" si="32"/>
        <v>3.6583497778859939E-3</v>
      </c>
      <c r="H540">
        <f t="shared" si="33"/>
        <v>3462.6644999999999</v>
      </c>
      <c r="I540" s="3">
        <f t="shared" si="34"/>
        <v>6.8097229484100352E-3</v>
      </c>
      <c r="J540" s="5" t="str">
        <f t="shared" si="35"/>
        <v>低风险用户</v>
      </c>
    </row>
    <row r="541" spans="1:10" x14ac:dyDescent="0.3">
      <c r="A541" s="1">
        <v>45744</v>
      </c>
      <c r="B541" s="2">
        <v>3351.96</v>
      </c>
      <c r="C541" s="2">
        <v>3387.38</v>
      </c>
      <c r="D541" s="2">
        <v>3399.14</v>
      </c>
      <c r="E541" s="2">
        <v>3350.76</v>
      </c>
      <c r="F541" t="s">
        <v>543</v>
      </c>
      <c r="G541" s="3">
        <f t="shared" si="32"/>
        <v>3.1153207343896858E-3</v>
      </c>
      <c r="H541">
        <f t="shared" si="33"/>
        <v>3473.9904999999999</v>
      </c>
      <c r="I541" s="3">
        <f t="shared" si="34"/>
        <v>6.9367523339187026E-3</v>
      </c>
      <c r="J541" s="5" t="str">
        <f t="shared" si="35"/>
        <v>低风险用户</v>
      </c>
    </row>
    <row r="542" spans="1:10" x14ac:dyDescent="0.3">
      <c r="A542" s="1">
        <v>45747</v>
      </c>
      <c r="B542" s="2">
        <v>3369.6</v>
      </c>
      <c r="C542" s="2">
        <v>3418.64</v>
      </c>
      <c r="D542" s="2">
        <v>3418.64</v>
      </c>
      <c r="E542" s="2">
        <v>3369.6</v>
      </c>
      <c r="F542" t="s">
        <v>544</v>
      </c>
      <c r="G542" s="3">
        <f t="shared" si="32"/>
        <v>5.2625926323702768E-3</v>
      </c>
      <c r="H542">
        <f t="shared" si="33"/>
        <v>3485.0104999999994</v>
      </c>
      <c r="I542" s="3">
        <f t="shared" si="34"/>
        <v>6.9527135246004882E-3</v>
      </c>
      <c r="J542" s="5" t="str">
        <f t="shared" si="35"/>
        <v>低风险用户</v>
      </c>
    </row>
    <row r="543" spans="1:10" x14ac:dyDescent="0.3">
      <c r="A543" s="1">
        <v>45748</v>
      </c>
      <c r="B543" s="2">
        <v>3426.8</v>
      </c>
      <c r="C543" s="2">
        <v>3410</v>
      </c>
      <c r="D543" s="2">
        <v>3427.55</v>
      </c>
      <c r="E543" s="2">
        <v>3406.1</v>
      </c>
      <c r="F543" t="s">
        <v>545</v>
      </c>
      <c r="G543" s="3">
        <f t="shared" si="32"/>
        <v>1.6975308641975391E-2</v>
      </c>
      <c r="H543">
        <f t="shared" si="33"/>
        <v>3496.8929999999991</v>
      </c>
      <c r="I543" s="3">
        <f t="shared" si="34"/>
        <v>7.094137957070216E-3</v>
      </c>
      <c r="J543" s="5" t="str">
        <f t="shared" si="35"/>
        <v>低风险用户</v>
      </c>
    </row>
    <row r="544" spans="1:10" x14ac:dyDescent="0.3">
      <c r="A544" s="1">
        <v>45749</v>
      </c>
      <c r="B544" s="2">
        <v>3419.45</v>
      </c>
      <c r="C544" s="2">
        <v>3378.05</v>
      </c>
      <c r="D544" s="2">
        <v>3426.61</v>
      </c>
      <c r="E544" s="2">
        <v>3346.89</v>
      </c>
      <c r="F544" t="s">
        <v>546</v>
      </c>
      <c r="G544" s="3">
        <f t="shared" si="32"/>
        <v>-2.1448581767247472E-3</v>
      </c>
      <c r="H544">
        <f t="shared" si="33"/>
        <v>3504.6559999999999</v>
      </c>
      <c r="I544" s="3">
        <f t="shared" si="34"/>
        <v>6.6996042310407669E-3</v>
      </c>
      <c r="J544" s="5" t="str">
        <f t="shared" si="35"/>
        <v>低风险用户</v>
      </c>
    </row>
    <row r="545" spans="1:10" x14ac:dyDescent="0.3">
      <c r="A545" s="1">
        <v>45750</v>
      </c>
      <c r="B545" s="2">
        <v>3399.46</v>
      </c>
      <c r="C545" s="2">
        <v>3391.86</v>
      </c>
      <c r="D545" s="2">
        <v>3409.38</v>
      </c>
      <c r="E545" s="2">
        <v>3383.45</v>
      </c>
      <c r="F545" t="s">
        <v>547</v>
      </c>
      <c r="G545" s="3">
        <f t="shared" si="32"/>
        <v>-5.845969381040747E-3</v>
      </c>
      <c r="H545">
        <f t="shared" si="33"/>
        <v>3512.654</v>
      </c>
      <c r="I545" s="3">
        <f t="shared" si="34"/>
        <v>6.658453068234628E-3</v>
      </c>
      <c r="J545" s="5" t="str">
        <f t="shared" si="35"/>
        <v>低风险用户</v>
      </c>
    </row>
    <row r="546" spans="1:10" x14ac:dyDescent="0.3">
      <c r="A546" s="1">
        <v>45754</v>
      </c>
      <c r="B546" s="2">
        <v>3391.28</v>
      </c>
      <c r="C546" s="2">
        <v>3394.31</v>
      </c>
      <c r="D546" s="2">
        <v>3404.41</v>
      </c>
      <c r="E546" s="2">
        <v>3369.77</v>
      </c>
      <c r="F546" t="s">
        <v>548</v>
      </c>
      <c r="G546" s="3">
        <f t="shared" si="32"/>
        <v>-2.4062645243655865E-3</v>
      </c>
      <c r="H546">
        <f t="shared" si="33"/>
        <v>3522.0055000000002</v>
      </c>
      <c r="I546" s="3">
        <f t="shared" si="34"/>
        <v>6.3780171542520423E-3</v>
      </c>
      <c r="J546" s="5" t="str">
        <f t="shared" si="35"/>
        <v>低风险用户</v>
      </c>
    </row>
    <row r="547" spans="1:10" x14ac:dyDescent="0.3">
      <c r="A547" s="1">
        <v>45755</v>
      </c>
      <c r="B547" s="2">
        <v>3399.6</v>
      </c>
      <c r="C547" s="2">
        <v>3387.88</v>
      </c>
      <c r="D547" s="2">
        <v>3420.28</v>
      </c>
      <c r="E547" s="2">
        <v>3382.95</v>
      </c>
      <c r="F547" t="s">
        <v>549</v>
      </c>
      <c r="G547" s="3">
        <f t="shared" si="32"/>
        <v>2.4533509471349191E-3</v>
      </c>
      <c r="H547">
        <f t="shared" si="33"/>
        <v>3533.0830000000001</v>
      </c>
      <c r="I547" s="3">
        <f t="shared" si="34"/>
        <v>6.3396466495125809E-3</v>
      </c>
      <c r="J547" s="5" t="str">
        <f t="shared" si="35"/>
        <v>低风险用户</v>
      </c>
    </row>
    <row r="548" spans="1:10" x14ac:dyDescent="0.3">
      <c r="A548" s="1">
        <v>45756</v>
      </c>
      <c r="B548" s="2">
        <v>3394.26</v>
      </c>
      <c r="C548" s="2">
        <v>3450.09</v>
      </c>
      <c r="D548" s="2">
        <v>3450.09</v>
      </c>
      <c r="E548" s="2">
        <v>3393.81</v>
      </c>
      <c r="F548" t="s">
        <v>550</v>
      </c>
      <c r="G548" s="3">
        <f t="shared" si="32"/>
        <v>-1.5707730321213352E-3</v>
      </c>
      <c r="H548">
        <f t="shared" si="33"/>
        <v>3543.6565000000001</v>
      </c>
      <c r="I548" s="3">
        <f t="shared" si="34"/>
        <v>6.3914709017012265E-3</v>
      </c>
      <c r="J548" s="5" t="str">
        <f t="shared" si="35"/>
        <v>低风险用户</v>
      </c>
    </row>
    <row r="549" spans="1:10" x14ac:dyDescent="0.3">
      <c r="A549" s="1">
        <v>45757</v>
      </c>
      <c r="B549" s="2">
        <v>3460.14</v>
      </c>
      <c r="C549" s="2">
        <v>3481.04</v>
      </c>
      <c r="D549" s="2">
        <v>3488.13</v>
      </c>
      <c r="E549" s="2">
        <v>3459.61</v>
      </c>
      <c r="F549" t="s">
        <v>551</v>
      </c>
      <c r="G549" s="3">
        <f t="shared" si="32"/>
        <v>1.9409237948772237E-2</v>
      </c>
      <c r="H549">
        <f t="shared" si="33"/>
        <v>3554.9314999999997</v>
      </c>
      <c r="I549" s="3">
        <f t="shared" si="34"/>
        <v>6.3016664935477956E-3</v>
      </c>
      <c r="J549" s="5" t="str">
        <f t="shared" si="35"/>
        <v>低风险用户</v>
      </c>
    </row>
    <row r="550" spans="1:10" x14ac:dyDescent="0.3">
      <c r="A550" s="1">
        <v>45758</v>
      </c>
      <c r="B550" s="2">
        <v>3482.88</v>
      </c>
      <c r="C550" s="2">
        <v>3494.22</v>
      </c>
      <c r="D550" s="2">
        <v>3494.22</v>
      </c>
      <c r="E550" s="2">
        <v>3452.17</v>
      </c>
      <c r="F550" t="s">
        <v>552</v>
      </c>
      <c r="G550" s="3">
        <f t="shared" si="32"/>
        <v>6.5719884166537297E-3</v>
      </c>
      <c r="H550">
        <f t="shared" si="33"/>
        <v>3563.5549999999994</v>
      </c>
      <c r="I550" s="3">
        <f t="shared" si="34"/>
        <v>5.0293135673943152E-3</v>
      </c>
      <c r="J550" s="5" t="str">
        <f t="shared" si="35"/>
        <v>低风险用户</v>
      </c>
    </row>
    <row r="551" spans="1:10" x14ac:dyDescent="0.3">
      <c r="A551" s="1">
        <v>45761</v>
      </c>
      <c r="B551" s="2">
        <v>3496.2</v>
      </c>
      <c r="C551" s="2">
        <v>3485.52</v>
      </c>
      <c r="D551" s="2">
        <v>3505.13</v>
      </c>
      <c r="E551" s="2">
        <v>3481.45</v>
      </c>
      <c r="F551" t="s">
        <v>553</v>
      </c>
      <c r="G551" s="3">
        <f t="shared" si="32"/>
        <v>3.8244211686878989E-3</v>
      </c>
      <c r="H551">
        <f t="shared" si="33"/>
        <v>3568.6179999999999</v>
      </c>
      <c r="I551" s="3">
        <f t="shared" si="34"/>
        <v>6.0396383929675473E-3</v>
      </c>
      <c r="J551" s="5" t="str">
        <f t="shared" si="35"/>
        <v>低风险用户</v>
      </c>
    </row>
    <row r="552" spans="1:10" x14ac:dyDescent="0.3">
      <c r="A552" s="1">
        <v>45762</v>
      </c>
      <c r="B552" s="2">
        <v>3488.31</v>
      </c>
      <c r="C552" s="2">
        <v>3518.88</v>
      </c>
      <c r="D552" s="2">
        <v>3519.2</v>
      </c>
      <c r="E552" s="2">
        <v>3482.24</v>
      </c>
      <c r="F552" t="s">
        <v>554</v>
      </c>
      <c r="G552" s="3">
        <f t="shared" si="32"/>
        <v>-2.2567358846747533E-3</v>
      </c>
      <c r="H552">
        <f t="shared" si="33"/>
        <v>3571.5175000000004</v>
      </c>
      <c r="I552" s="3">
        <f t="shared" si="34"/>
        <v>6.3916302249648624E-3</v>
      </c>
      <c r="J552" s="5" t="str">
        <f t="shared" si="35"/>
        <v>低风险用户</v>
      </c>
    </row>
    <row r="553" spans="1:10" x14ac:dyDescent="0.3">
      <c r="A553" s="1">
        <v>45763</v>
      </c>
      <c r="B553" s="2">
        <v>3518.52</v>
      </c>
      <c r="C553" s="2">
        <v>3510.66</v>
      </c>
      <c r="D553" s="2">
        <v>3521.05</v>
      </c>
      <c r="E553" s="2">
        <v>3501.11</v>
      </c>
      <c r="F553" t="s">
        <v>555</v>
      </c>
      <c r="G553" s="3">
        <f t="shared" si="32"/>
        <v>8.6603541543039571E-3</v>
      </c>
      <c r="H553">
        <f t="shared" si="33"/>
        <v>3575.6534999999994</v>
      </c>
      <c r="I553" s="3">
        <f t="shared" si="34"/>
        <v>6.4044914823530126E-3</v>
      </c>
      <c r="J553" s="5" t="str">
        <f t="shared" si="35"/>
        <v>低风险用户</v>
      </c>
    </row>
    <row r="554" spans="1:10" x14ac:dyDescent="0.3">
      <c r="A554" s="1">
        <v>45764</v>
      </c>
      <c r="B554" s="2">
        <v>3511.94</v>
      </c>
      <c r="C554" s="2">
        <v>3534.44</v>
      </c>
      <c r="D554" s="2">
        <v>3534.44</v>
      </c>
      <c r="E554" s="2">
        <v>3492.86</v>
      </c>
      <c r="F554" t="s">
        <v>556</v>
      </c>
      <c r="G554" s="3">
        <f t="shared" si="32"/>
        <v>-1.8701044757454632E-3</v>
      </c>
      <c r="H554">
        <f t="shared" si="33"/>
        <v>3578.3530000000005</v>
      </c>
      <c r="I554" s="3">
        <f t="shared" si="34"/>
        <v>6.1591249192084621E-3</v>
      </c>
      <c r="J554" s="5" t="str">
        <f t="shared" si="35"/>
        <v>低风险用户</v>
      </c>
    </row>
    <row r="555" spans="1:10" x14ac:dyDescent="0.3">
      <c r="A555" s="1">
        <v>45765</v>
      </c>
      <c r="B555" s="2">
        <v>3538.01</v>
      </c>
      <c r="C555" s="2">
        <v>3560.65</v>
      </c>
      <c r="D555" s="2">
        <v>3560.65</v>
      </c>
      <c r="E555" s="2">
        <v>3534</v>
      </c>
      <c r="F555" t="s">
        <v>557</v>
      </c>
      <c r="G555" s="3">
        <f t="shared" si="32"/>
        <v>7.4232475497873433E-3</v>
      </c>
      <c r="H555">
        <f t="shared" si="33"/>
        <v>3581.9445000000005</v>
      </c>
      <c r="I555" s="3">
        <f t="shared" si="34"/>
        <v>6.1477678264419289E-3</v>
      </c>
      <c r="J555" s="5" t="str">
        <f t="shared" si="35"/>
        <v>低风险用户</v>
      </c>
    </row>
    <row r="556" spans="1:10" x14ac:dyDescent="0.3">
      <c r="A556" s="1">
        <v>45768</v>
      </c>
      <c r="B556" s="2">
        <v>3561.52</v>
      </c>
      <c r="C556" s="2">
        <v>3541.44</v>
      </c>
      <c r="D556" s="2">
        <v>3562.07</v>
      </c>
      <c r="E556" s="2">
        <v>3529.94</v>
      </c>
      <c r="F556" t="s">
        <v>558</v>
      </c>
      <c r="G556" s="3">
        <f t="shared" si="32"/>
        <v>6.6449783918077565E-3</v>
      </c>
      <c r="H556">
        <f t="shared" si="33"/>
        <v>3583.1635000000001</v>
      </c>
      <c r="I556" s="3">
        <f t="shared" si="34"/>
        <v>6.1440259480589525E-3</v>
      </c>
      <c r="J556" s="5" t="str">
        <f t="shared" si="35"/>
        <v>低风险用户</v>
      </c>
    </row>
    <row r="557" spans="1:10" x14ac:dyDescent="0.3">
      <c r="A557" s="1">
        <v>45769</v>
      </c>
      <c r="B557" s="2">
        <v>3544.42</v>
      </c>
      <c r="C557" s="2">
        <v>3569.44</v>
      </c>
      <c r="D557" s="2">
        <v>3574.38</v>
      </c>
      <c r="E557" s="2">
        <v>3544.42</v>
      </c>
      <c r="F557" t="s">
        <v>559</v>
      </c>
      <c r="G557" s="3">
        <f t="shared" si="32"/>
        <v>-4.80132078438417E-3</v>
      </c>
      <c r="H557">
        <f t="shared" si="33"/>
        <v>3580.7945</v>
      </c>
      <c r="I557" s="3">
        <f t="shared" si="34"/>
        <v>6.6914520727849166E-3</v>
      </c>
      <c r="J557" s="5" t="str">
        <f t="shared" si="35"/>
        <v>低风险用户</v>
      </c>
    </row>
    <row r="558" spans="1:10" x14ac:dyDescent="0.3">
      <c r="A558" s="1">
        <v>45770</v>
      </c>
      <c r="B558" s="2">
        <v>3581.07</v>
      </c>
      <c r="C558" s="2">
        <v>3587.88</v>
      </c>
      <c r="D558" s="2">
        <v>3615.06</v>
      </c>
      <c r="E558" s="2">
        <v>3575.68</v>
      </c>
      <c r="F558" t="s">
        <v>560</v>
      </c>
      <c r="G558" s="3">
        <f t="shared" si="32"/>
        <v>1.0340196703550958E-2</v>
      </c>
      <c r="H558">
        <f t="shared" si="33"/>
        <v>3578.7965000000004</v>
      </c>
      <c r="I558" s="3">
        <f t="shared" si="34"/>
        <v>6.6400445296375043E-3</v>
      </c>
      <c r="J558" s="5" t="str">
        <f t="shared" si="35"/>
        <v>低风险用户</v>
      </c>
    </row>
    <row r="559" spans="1:10" x14ac:dyDescent="0.3">
      <c r="A559" s="1">
        <v>45771</v>
      </c>
      <c r="B559" s="2">
        <v>3576.32</v>
      </c>
      <c r="C559" s="2">
        <v>3569.73</v>
      </c>
      <c r="D559" s="2">
        <v>3586.97</v>
      </c>
      <c r="E559" s="2">
        <v>3545.1</v>
      </c>
      <c r="F559" t="s">
        <v>561</v>
      </c>
      <c r="G559" s="3">
        <f t="shared" si="32"/>
        <v>-1.3264191987311055E-3</v>
      </c>
      <c r="H559">
        <f t="shared" si="33"/>
        <v>3574.0995000000003</v>
      </c>
      <c r="I559" s="3">
        <f t="shared" si="34"/>
        <v>6.1852205297035865E-3</v>
      </c>
      <c r="J559" s="5" t="str">
        <f t="shared" si="35"/>
        <v>低风险用户</v>
      </c>
    </row>
    <row r="560" spans="1:10" x14ac:dyDescent="0.3">
      <c r="A560" s="1">
        <v>45772</v>
      </c>
      <c r="B560" s="2">
        <v>3568.07</v>
      </c>
      <c r="C560" s="2">
        <v>3561.31</v>
      </c>
      <c r="D560" s="2">
        <v>3573.68</v>
      </c>
      <c r="E560" s="2">
        <v>3547.03</v>
      </c>
      <c r="F560" t="s">
        <v>562</v>
      </c>
      <c r="G560" s="3">
        <f t="shared" si="32"/>
        <v>-2.3068405511811022E-3</v>
      </c>
      <c r="H560">
        <f t="shared" si="33"/>
        <v>3568.9955</v>
      </c>
      <c r="I560" s="3">
        <f t="shared" si="34"/>
        <v>6.2082119880596488E-3</v>
      </c>
      <c r="J560" s="5" t="str">
        <f t="shared" si="35"/>
        <v>低风险用户</v>
      </c>
    </row>
    <row r="561" spans="1:10" x14ac:dyDescent="0.3">
      <c r="A561" s="1">
        <v>45775</v>
      </c>
      <c r="B561" s="2">
        <v>3572.36</v>
      </c>
      <c r="C561" s="2">
        <v>3600.98</v>
      </c>
      <c r="D561" s="2">
        <v>3605.29</v>
      </c>
      <c r="E561" s="2">
        <v>3572.36</v>
      </c>
      <c r="F561" t="s">
        <v>563</v>
      </c>
      <c r="G561" s="3">
        <f t="shared" si="32"/>
        <v>1.2023306717637164E-3</v>
      </c>
      <c r="H561">
        <f t="shared" si="33"/>
        <v>3566.1214999999997</v>
      </c>
      <c r="I561" s="3">
        <f t="shared" si="34"/>
        <v>6.7464343516212381E-3</v>
      </c>
      <c r="J561" s="5" t="str">
        <f t="shared" si="35"/>
        <v>低风险用户</v>
      </c>
    </row>
    <row r="562" spans="1:10" x14ac:dyDescent="0.3">
      <c r="A562" s="1">
        <v>45776</v>
      </c>
      <c r="B562" s="2">
        <v>3607.25</v>
      </c>
      <c r="C562" s="2">
        <v>3616.88</v>
      </c>
      <c r="D562" s="2">
        <v>3620.6</v>
      </c>
      <c r="E562" s="2">
        <v>3596.92</v>
      </c>
      <c r="F562" t="s">
        <v>564</v>
      </c>
      <c r="G562" s="3">
        <f t="shared" si="32"/>
        <v>9.7666528569348762E-3</v>
      </c>
      <c r="H562">
        <f t="shared" si="33"/>
        <v>3564.1804999999995</v>
      </c>
      <c r="I562" s="3">
        <f t="shared" si="34"/>
        <v>6.9322714598005399E-3</v>
      </c>
      <c r="J562" s="5" t="str">
        <f t="shared" si="35"/>
        <v>低风险用户</v>
      </c>
    </row>
    <row r="563" spans="1:10" x14ac:dyDescent="0.3">
      <c r="A563" s="1">
        <v>45777</v>
      </c>
      <c r="B563" s="2">
        <v>3582.06</v>
      </c>
      <c r="C563" s="2">
        <v>3581.1</v>
      </c>
      <c r="D563" s="2">
        <v>3600.15</v>
      </c>
      <c r="E563" s="2">
        <v>3568.88</v>
      </c>
      <c r="F563" t="s">
        <v>565</v>
      </c>
      <c r="G563" s="3">
        <f t="shared" si="32"/>
        <v>-6.9831589160718154E-3</v>
      </c>
      <c r="H563">
        <f t="shared" si="33"/>
        <v>3564.3469999999993</v>
      </c>
      <c r="I563" s="3">
        <f t="shared" si="34"/>
        <v>8.2665663428959403E-3</v>
      </c>
      <c r="J563" s="5" t="str">
        <f t="shared" si="35"/>
        <v>低风险用户</v>
      </c>
    </row>
    <row r="564" spans="1:10" x14ac:dyDescent="0.3">
      <c r="A564" s="1">
        <v>45783</v>
      </c>
      <c r="B564" s="2">
        <v>3579.41</v>
      </c>
      <c r="C564" s="2">
        <v>3593.91</v>
      </c>
      <c r="D564" s="2">
        <v>3599.39</v>
      </c>
      <c r="E564" s="2">
        <v>3562.77</v>
      </c>
      <c r="F564" t="s">
        <v>566</v>
      </c>
      <c r="G564" s="3">
        <f t="shared" si="32"/>
        <v>-7.3979776999829455E-4</v>
      </c>
      <c r="H564">
        <f t="shared" si="33"/>
        <v>3567.2139999999986</v>
      </c>
      <c r="I564" s="3">
        <f t="shared" si="34"/>
        <v>8.2710279550633203E-3</v>
      </c>
      <c r="J564" s="5" t="str">
        <f t="shared" si="35"/>
        <v>低风险用户</v>
      </c>
    </row>
    <row r="565" spans="1:10" x14ac:dyDescent="0.3">
      <c r="A565" s="1">
        <v>45784</v>
      </c>
      <c r="B565" s="2">
        <v>3586.49</v>
      </c>
      <c r="C565" s="2">
        <v>3596.07</v>
      </c>
      <c r="D565" s="2">
        <v>3599.45</v>
      </c>
      <c r="E565" s="2">
        <v>3576.1</v>
      </c>
      <c r="F565" t="s">
        <v>567</v>
      </c>
      <c r="G565" s="3">
        <f t="shared" si="32"/>
        <v>1.9779796111649484E-3</v>
      </c>
      <c r="H565">
        <f t="shared" si="33"/>
        <v>3569.5735</v>
      </c>
      <c r="I565" s="3">
        <f t="shared" si="34"/>
        <v>8.3218710346486587E-3</v>
      </c>
      <c r="J565" s="5" t="str">
        <f t="shared" si="35"/>
        <v>低风险用户</v>
      </c>
    </row>
    <row r="566" spans="1:10" x14ac:dyDescent="0.3">
      <c r="A566" s="1">
        <v>45785</v>
      </c>
      <c r="B566" s="2">
        <v>3612.83</v>
      </c>
      <c r="C566" s="2">
        <v>3603.11</v>
      </c>
      <c r="D566" s="2">
        <v>3624.41</v>
      </c>
      <c r="E566" s="2">
        <v>3601.37</v>
      </c>
      <c r="F566" t="s">
        <v>568</v>
      </c>
      <c r="G566" s="3">
        <f t="shared" si="32"/>
        <v>7.3442279220073516E-3</v>
      </c>
      <c r="H566">
        <f t="shared" si="33"/>
        <v>3573.4195000000009</v>
      </c>
      <c r="I566" s="3">
        <f t="shared" si="34"/>
        <v>8.5850090283069863E-3</v>
      </c>
      <c r="J566" s="5" t="str">
        <f t="shared" si="35"/>
        <v>低风险用户</v>
      </c>
    </row>
    <row r="567" spans="1:10" x14ac:dyDescent="0.3">
      <c r="A567" s="1">
        <v>45786</v>
      </c>
      <c r="B567" s="2">
        <v>3611.07</v>
      </c>
      <c r="C567" s="2">
        <v>3610.64</v>
      </c>
      <c r="D567" s="2">
        <v>3627.05</v>
      </c>
      <c r="E567" s="2">
        <v>3591.82</v>
      </c>
      <c r="F567" t="s">
        <v>569</v>
      </c>
      <c r="G567" s="3">
        <f t="shared" si="32"/>
        <v>-4.8715273068474397E-4</v>
      </c>
      <c r="H567">
        <f t="shared" si="33"/>
        <v>3577.8969999999999</v>
      </c>
      <c r="I567" s="3">
        <f t="shared" si="34"/>
        <v>8.7413173574622163E-3</v>
      </c>
      <c r="J567" s="5" t="str">
        <f t="shared" si="35"/>
        <v>低风险用户</v>
      </c>
    </row>
    <row r="568" spans="1:10" x14ac:dyDescent="0.3">
      <c r="A568" s="1">
        <v>45789</v>
      </c>
      <c r="B568" s="2">
        <v>3619.76</v>
      </c>
      <c r="C568" s="2">
        <v>3623.78</v>
      </c>
      <c r="D568" s="2">
        <v>3628.46</v>
      </c>
      <c r="E568" s="2">
        <v>3606.3</v>
      </c>
      <c r="F568" t="s">
        <v>570</v>
      </c>
      <c r="G568" s="3">
        <f t="shared" si="32"/>
        <v>2.4064889354125105E-3</v>
      </c>
      <c r="H568">
        <f t="shared" si="33"/>
        <v>3580.721</v>
      </c>
      <c r="I568" s="3">
        <f t="shared" si="34"/>
        <v>9.0570892178429164E-3</v>
      </c>
      <c r="J568" s="5" t="str">
        <f t="shared" si="35"/>
        <v>低风险用户</v>
      </c>
    </row>
    <row r="569" spans="1:10" x14ac:dyDescent="0.3">
      <c r="A569" s="1">
        <v>45790</v>
      </c>
      <c r="B569" s="2">
        <v>3632.61</v>
      </c>
      <c r="C569" s="2">
        <v>3608.32</v>
      </c>
      <c r="D569" s="2">
        <v>3635.79</v>
      </c>
      <c r="E569" s="2">
        <v>3600.63</v>
      </c>
      <c r="F569" t="s">
        <v>571</v>
      </c>
      <c r="G569" s="3">
        <f t="shared" si="32"/>
        <v>3.5499591133113543E-3</v>
      </c>
      <c r="H569">
        <f t="shared" si="33"/>
        <v>3582.5894999999996</v>
      </c>
      <c r="I569" s="3">
        <f t="shared" si="34"/>
        <v>9.0845318424390021E-3</v>
      </c>
      <c r="J569" s="5" t="str">
        <f t="shared" si="35"/>
        <v>低风险用户</v>
      </c>
    </row>
    <row r="570" spans="1:10" x14ac:dyDescent="0.3">
      <c r="A570" s="1">
        <v>45791</v>
      </c>
      <c r="B570" s="2">
        <v>3584.14</v>
      </c>
      <c r="C570" s="2">
        <v>3558.53</v>
      </c>
      <c r="D570" s="2">
        <v>3596.1</v>
      </c>
      <c r="E570" s="2">
        <v>3558.53</v>
      </c>
      <c r="F570" t="s">
        <v>572</v>
      </c>
      <c r="G570" s="3">
        <f t="shared" si="32"/>
        <v>-1.334302333583849E-2</v>
      </c>
      <c r="H570">
        <f t="shared" si="33"/>
        <v>3585.1954999999994</v>
      </c>
      <c r="I570" s="3">
        <f t="shared" si="34"/>
        <v>9.1972009093564452E-3</v>
      </c>
      <c r="J570" s="5" t="str">
        <f t="shared" si="35"/>
        <v>低风险用户</v>
      </c>
    </row>
    <row r="571" spans="1:10" x14ac:dyDescent="0.3">
      <c r="A571" s="1">
        <v>45792</v>
      </c>
      <c r="B571" s="2">
        <v>3554.19</v>
      </c>
      <c r="C571" s="2">
        <v>3580.07</v>
      </c>
      <c r="D571" s="2">
        <v>3597.17</v>
      </c>
      <c r="E571" s="2">
        <v>3553.74</v>
      </c>
      <c r="F571" t="s">
        <v>573</v>
      </c>
      <c r="G571" s="3">
        <f t="shared" si="32"/>
        <v>-8.3562584050845719E-3</v>
      </c>
      <c r="H571">
        <f t="shared" si="33"/>
        <v>3590.4644999999996</v>
      </c>
      <c r="I571" s="3">
        <f t="shared" si="34"/>
        <v>8.5780415724129831E-3</v>
      </c>
      <c r="J571" s="5" t="str">
        <f t="shared" si="35"/>
        <v>低风险用户</v>
      </c>
    </row>
    <row r="572" spans="1:10" x14ac:dyDescent="0.3">
      <c r="A572" s="1">
        <v>45793</v>
      </c>
      <c r="B572" s="2">
        <v>3571.03</v>
      </c>
      <c r="C572" s="2">
        <v>3605.76</v>
      </c>
      <c r="D572" s="2">
        <v>3606.41</v>
      </c>
      <c r="E572" s="2">
        <v>3564.64</v>
      </c>
      <c r="F572" t="s">
        <v>574</v>
      </c>
      <c r="G572" s="3">
        <f t="shared" si="32"/>
        <v>4.7380697148999198E-3</v>
      </c>
      <c r="H572">
        <f t="shared" si="33"/>
        <v>3597.7799999999997</v>
      </c>
      <c r="I572" s="3">
        <f t="shared" si="34"/>
        <v>8.2622479241933819E-3</v>
      </c>
      <c r="J572" s="5" t="str">
        <f t="shared" si="35"/>
        <v>低风险用户</v>
      </c>
    </row>
    <row r="573" spans="1:10" x14ac:dyDescent="0.3">
      <c r="A573" s="1">
        <v>45796</v>
      </c>
      <c r="B573" s="2">
        <v>3572.51</v>
      </c>
      <c r="C573" s="2">
        <v>3581.68</v>
      </c>
      <c r="D573" s="2">
        <v>3581.68</v>
      </c>
      <c r="E573" s="2">
        <v>3554.58</v>
      </c>
      <c r="F573" t="s">
        <v>575</v>
      </c>
      <c r="G573" s="3">
        <f t="shared" si="32"/>
        <v>4.1444625220175081E-4</v>
      </c>
      <c r="H573">
        <f t="shared" si="33"/>
        <v>3603.8729999999996</v>
      </c>
      <c r="I573" s="3">
        <f t="shared" si="34"/>
        <v>8.2856185300618414E-3</v>
      </c>
      <c r="J573" s="5" t="str">
        <f t="shared" si="35"/>
        <v>低风险用户</v>
      </c>
    </row>
    <row r="574" spans="1:10" x14ac:dyDescent="0.3">
      <c r="A574" s="1">
        <v>45797</v>
      </c>
      <c r="B574" s="2">
        <v>3583.77</v>
      </c>
      <c r="C574" s="2">
        <v>3554.11</v>
      </c>
      <c r="D574" s="2">
        <v>3592.72</v>
      </c>
      <c r="E574" s="2">
        <v>3554.02</v>
      </c>
      <c r="F574" t="s">
        <v>576</v>
      </c>
      <c r="G574" s="3">
        <f t="shared" si="32"/>
        <v>3.1518456211458508E-3</v>
      </c>
      <c r="H574">
        <f t="shared" si="33"/>
        <v>3610.9775</v>
      </c>
      <c r="I574" s="3">
        <f t="shared" si="34"/>
        <v>8.3305648594625935E-3</v>
      </c>
      <c r="J574" s="5" t="str">
        <f t="shared" si="35"/>
        <v>低风险用户</v>
      </c>
    </row>
    <row r="575" spans="1:10" x14ac:dyDescent="0.3">
      <c r="A575" s="1">
        <v>45798</v>
      </c>
      <c r="B575" s="2">
        <v>3562.39</v>
      </c>
      <c r="C575" s="2">
        <v>3501.17</v>
      </c>
      <c r="D575" s="2">
        <v>3576.59</v>
      </c>
      <c r="E575" s="2">
        <v>3494.55</v>
      </c>
      <c r="F575" t="s">
        <v>577</v>
      </c>
      <c r="G575" s="3">
        <f t="shared" si="32"/>
        <v>-5.9657846346166492E-3</v>
      </c>
      <c r="H575">
        <f t="shared" si="33"/>
        <v>3618.7354999999998</v>
      </c>
      <c r="I575" s="3">
        <f t="shared" si="34"/>
        <v>8.390055465609482E-3</v>
      </c>
      <c r="J575" s="5" t="str">
        <f t="shared" si="35"/>
        <v>低风险用户</v>
      </c>
    </row>
    <row r="576" spans="1:10" x14ac:dyDescent="0.3">
      <c r="A576" s="1">
        <v>45799</v>
      </c>
      <c r="B576" s="2">
        <v>3514.14</v>
      </c>
      <c r="C576" s="2">
        <v>3484.78</v>
      </c>
      <c r="D576" s="2">
        <v>3515.57</v>
      </c>
      <c r="E576" s="2">
        <v>3478.05</v>
      </c>
      <c r="F576" t="s">
        <v>578</v>
      </c>
      <c r="G576" s="3">
        <f t="shared" si="32"/>
        <v>-1.354427785840405E-2</v>
      </c>
      <c r="H576">
        <f t="shared" si="33"/>
        <v>3624.2379999999998</v>
      </c>
      <c r="I576" s="3">
        <f t="shared" si="34"/>
        <v>9.3529137842046552E-3</v>
      </c>
      <c r="J576" s="5" t="str">
        <f t="shared" si="35"/>
        <v>低风险用户</v>
      </c>
    </row>
    <row r="577" spans="1:10" x14ac:dyDescent="0.3">
      <c r="A577" s="1">
        <v>45800</v>
      </c>
      <c r="B577" s="2">
        <v>3504.46</v>
      </c>
      <c r="C577" s="2">
        <v>3524.3</v>
      </c>
      <c r="D577" s="2">
        <v>3531.83</v>
      </c>
      <c r="E577" s="2">
        <v>3500.92</v>
      </c>
      <c r="F577" t="s">
        <v>579</v>
      </c>
      <c r="G577" s="3">
        <f t="shared" si="32"/>
        <v>-2.7545857592468814E-3</v>
      </c>
      <c r="H577">
        <f t="shared" si="33"/>
        <v>3633.8154999999997</v>
      </c>
      <c r="I577" s="3">
        <f t="shared" si="34"/>
        <v>8.7790784848123492E-3</v>
      </c>
      <c r="J577" s="5" t="str">
        <f t="shared" si="35"/>
        <v>低风险用户</v>
      </c>
    </row>
    <row r="578" spans="1:10" x14ac:dyDescent="0.3">
      <c r="A578" s="1">
        <v>45803</v>
      </c>
      <c r="B578" s="2">
        <v>3487.13</v>
      </c>
      <c r="C578" s="2">
        <v>3481.76</v>
      </c>
      <c r="D578" s="2">
        <v>3495</v>
      </c>
      <c r="E578" s="2">
        <v>3453.1</v>
      </c>
      <c r="F578" t="s">
        <v>580</v>
      </c>
      <c r="G578" s="3">
        <f t="shared" si="32"/>
        <v>-4.9451270666521878E-3</v>
      </c>
      <c r="H578">
        <f t="shared" si="33"/>
        <v>3644.6175000000003</v>
      </c>
      <c r="I578" s="3">
        <f t="shared" si="34"/>
        <v>8.6878781632404693E-3</v>
      </c>
      <c r="J578" s="5" t="str">
        <f t="shared" si="35"/>
        <v>低风险用户</v>
      </c>
    </row>
    <row r="579" spans="1:10" x14ac:dyDescent="0.3">
      <c r="A579" s="1">
        <v>45804</v>
      </c>
      <c r="B579" s="2">
        <v>3474.24</v>
      </c>
      <c r="C579" s="2">
        <v>3500.2</v>
      </c>
      <c r="D579" s="2">
        <v>3505.35</v>
      </c>
      <c r="E579" s="2">
        <v>3450.65</v>
      </c>
      <c r="F579" t="s">
        <v>581</v>
      </c>
      <c r="G579" s="3">
        <f t="shared" ref="G579:G642" si="36">IFERROR((B579-B578)/B578,"")</f>
        <v>-3.6964495157910163E-3</v>
      </c>
      <c r="H579">
        <f t="shared" ref="H579:H642" si="37">AVERAGE(B579:B598)</f>
        <v>3656.6465000000003</v>
      </c>
      <c r="I579" s="3">
        <f t="shared" ref="I579:I642" si="38">IFERROR(STDEV(G579:G598),"")</f>
        <v>8.4893357248308123E-3</v>
      </c>
      <c r="J579" s="5" t="str">
        <f t="shared" ref="J579:J642" si="39">IF(ROW()&lt;22,"未知",IF(I579&gt;AVERAGE(I:I),"高风险用户","低风险用户"))</f>
        <v>低风险用户</v>
      </c>
    </row>
    <row r="580" spans="1:10" x14ac:dyDescent="0.3">
      <c r="A580" s="1">
        <v>45805</v>
      </c>
      <c r="B580" s="2">
        <v>3510.59</v>
      </c>
      <c r="C580" s="2">
        <v>3518.35</v>
      </c>
      <c r="D580" s="2">
        <v>3535.66</v>
      </c>
      <c r="E580" s="2">
        <v>3501.73</v>
      </c>
      <c r="F580" t="s">
        <v>582</v>
      </c>
      <c r="G580" s="3">
        <f t="shared" si="36"/>
        <v>1.0462719904209371E-2</v>
      </c>
      <c r="H580">
        <f t="shared" si="37"/>
        <v>3668.3735000000006</v>
      </c>
      <c r="I580" s="3">
        <f t="shared" si="38"/>
        <v>8.5552831508288272E-3</v>
      </c>
      <c r="J580" s="5" t="str">
        <f t="shared" si="39"/>
        <v>低风险用户</v>
      </c>
    </row>
    <row r="581" spans="1:10" x14ac:dyDescent="0.3">
      <c r="A581" s="1">
        <v>45806</v>
      </c>
      <c r="B581" s="2">
        <v>3533.54</v>
      </c>
      <c r="C581" s="2">
        <v>3588.52</v>
      </c>
      <c r="D581" s="2">
        <v>3588.52</v>
      </c>
      <c r="E581" s="2">
        <v>3532.31</v>
      </c>
      <c r="F581" t="s">
        <v>583</v>
      </c>
      <c r="G581" s="3">
        <f t="shared" si="36"/>
        <v>6.5373626655348014E-3</v>
      </c>
      <c r="H581">
        <f t="shared" si="37"/>
        <v>3679.5194999999999</v>
      </c>
      <c r="I581" s="3">
        <f t="shared" si="38"/>
        <v>8.4293721637388394E-3</v>
      </c>
      <c r="J581" s="5" t="str">
        <f t="shared" si="39"/>
        <v>低风险用户</v>
      </c>
    </row>
    <row r="582" spans="1:10" x14ac:dyDescent="0.3">
      <c r="A582" s="1">
        <v>45807</v>
      </c>
      <c r="B582" s="2">
        <v>3610.58</v>
      </c>
      <c r="C582" s="2">
        <v>3631.07</v>
      </c>
      <c r="D582" s="2">
        <v>3632.06</v>
      </c>
      <c r="E582" s="2">
        <v>3608.98</v>
      </c>
      <c r="F582" t="s">
        <v>584</v>
      </c>
      <c r="G582" s="3">
        <f t="shared" si="36"/>
        <v>2.1802498344436448E-2</v>
      </c>
      <c r="H582">
        <f t="shared" si="37"/>
        <v>3689.6749999999993</v>
      </c>
      <c r="I582" s="3">
        <f t="shared" si="38"/>
        <v>8.4039067299125844E-3</v>
      </c>
      <c r="J582" s="5" t="str">
        <f t="shared" si="39"/>
        <v>低风险用户</v>
      </c>
    </row>
    <row r="583" spans="1:10" x14ac:dyDescent="0.3">
      <c r="A583" s="1">
        <v>45811</v>
      </c>
      <c r="B583" s="2">
        <v>3639.4</v>
      </c>
      <c r="C583" s="2">
        <v>3635.3</v>
      </c>
      <c r="D583" s="2">
        <v>3645.57</v>
      </c>
      <c r="E583" s="2">
        <v>3619.13</v>
      </c>
      <c r="F583" t="s">
        <v>585</v>
      </c>
      <c r="G583" s="3">
        <f t="shared" si="36"/>
        <v>7.9820970591982909E-3</v>
      </c>
      <c r="H583">
        <f t="shared" si="37"/>
        <v>3697.1760000000004</v>
      </c>
      <c r="I583" s="3">
        <f t="shared" si="38"/>
        <v>7.192668395326807E-3</v>
      </c>
      <c r="J583" s="5" t="str">
        <f t="shared" si="39"/>
        <v>低风险用户</v>
      </c>
    </row>
    <row r="584" spans="1:10" x14ac:dyDescent="0.3">
      <c r="A584" s="1">
        <v>45812</v>
      </c>
      <c r="B584" s="2">
        <v>3626.6</v>
      </c>
      <c r="C584" s="2">
        <v>3664.04</v>
      </c>
      <c r="D584" s="2">
        <v>3664.04</v>
      </c>
      <c r="E584" s="2">
        <v>3615.77</v>
      </c>
      <c r="F584" t="s">
        <v>586</v>
      </c>
      <c r="G584" s="3">
        <f t="shared" si="36"/>
        <v>-3.517063252184476E-3</v>
      </c>
      <c r="H584">
        <f t="shared" si="37"/>
        <v>3703.5830000000001</v>
      </c>
      <c r="I584" s="3">
        <f t="shared" si="38"/>
        <v>7.0564430507423868E-3</v>
      </c>
      <c r="J584" s="5" t="str">
        <f t="shared" si="39"/>
        <v>低风险用户</v>
      </c>
    </row>
    <row r="585" spans="1:10" x14ac:dyDescent="0.3">
      <c r="A585" s="1">
        <v>45813</v>
      </c>
      <c r="B585" s="2">
        <v>3663.41</v>
      </c>
      <c r="C585" s="2">
        <v>3677.96</v>
      </c>
      <c r="D585" s="2">
        <v>3678.19</v>
      </c>
      <c r="E585" s="2">
        <v>3652.31</v>
      </c>
      <c r="F585" t="s">
        <v>587</v>
      </c>
      <c r="G585" s="3">
        <f t="shared" si="36"/>
        <v>1.0150002757403614E-2</v>
      </c>
      <c r="H585">
        <f t="shared" si="37"/>
        <v>3709.2525000000001</v>
      </c>
      <c r="I585" s="3">
        <f t="shared" si="38"/>
        <v>7.2539695948182319E-3</v>
      </c>
      <c r="J585" s="5" t="str">
        <f t="shared" si="39"/>
        <v>低风险用户</v>
      </c>
    </row>
    <row r="586" spans="1:10" x14ac:dyDescent="0.3">
      <c r="A586" s="1">
        <v>45814</v>
      </c>
      <c r="B586" s="2">
        <v>3702.38</v>
      </c>
      <c r="C586" s="2">
        <v>3697.93</v>
      </c>
      <c r="D586" s="2">
        <v>3711.5</v>
      </c>
      <c r="E586" s="2">
        <v>3682.84</v>
      </c>
      <c r="F586" t="s">
        <v>588</v>
      </c>
      <c r="G586" s="3">
        <f t="shared" si="36"/>
        <v>1.0637629967707752E-2</v>
      </c>
      <c r="H586">
        <f t="shared" si="37"/>
        <v>3714.0055000000002</v>
      </c>
      <c r="I586" s="3">
        <f t="shared" si="38"/>
        <v>7.0192509518636672E-3</v>
      </c>
      <c r="J586" s="5" t="str">
        <f t="shared" si="39"/>
        <v>低风险用户</v>
      </c>
    </row>
    <row r="587" spans="1:10" x14ac:dyDescent="0.3">
      <c r="A587" s="1">
        <v>45817</v>
      </c>
      <c r="B587" s="2">
        <v>3667.55</v>
      </c>
      <c r="C587" s="2">
        <v>3674.75</v>
      </c>
      <c r="D587" s="2">
        <v>3689.53</v>
      </c>
      <c r="E587" s="2">
        <v>3658.35</v>
      </c>
      <c r="F587" t="s">
        <v>589</v>
      </c>
      <c r="G587" s="3">
        <f t="shared" si="36"/>
        <v>-9.4074622269999103E-3</v>
      </c>
      <c r="H587">
        <f t="shared" si="37"/>
        <v>3719.4880000000003</v>
      </c>
      <c r="I587" s="3">
        <f t="shared" si="38"/>
        <v>7.3124308156175917E-3</v>
      </c>
      <c r="J587" s="5" t="str">
        <f t="shared" si="39"/>
        <v>低风险用户</v>
      </c>
    </row>
    <row r="588" spans="1:10" x14ac:dyDescent="0.3">
      <c r="A588" s="1">
        <v>45818</v>
      </c>
      <c r="B588" s="2">
        <v>3657.13</v>
      </c>
      <c r="C588" s="2">
        <v>3696.25</v>
      </c>
      <c r="D588" s="2">
        <v>3701.26</v>
      </c>
      <c r="E588" s="2">
        <v>3655.59</v>
      </c>
      <c r="F588" t="s">
        <v>590</v>
      </c>
      <c r="G588" s="3">
        <f t="shared" si="36"/>
        <v>-2.8411337268749088E-3</v>
      </c>
      <c r="H588">
        <f t="shared" si="37"/>
        <v>3727.1264999999999</v>
      </c>
      <c r="I588" s="3">
        <f t="shared" si="38"/>
        <v>6.8482213538968023E-3</v>
      </c>
      <c r="J588" s="5" t="str">
        <f t="shared" si="39"/>
        <v>低风险用户</v>
      </c>
    </row>
    <row r="589" spans="1:10" x14ac:dyDescent="0.3">
      <c r="A589" s="1">
        <v>45819</v>
      </c>
      <c r="B589" s="2">
        <v>3684.73</v>
      </c>
      <c r="C589" s="2">
        <v>3678.93</v>
      </c>
      <c r="D589" s="2">
        <v>3694.17</v>
      </c>
      <c r="E589" s="2">
        <v>3642</v>
      </c>
      <c r="F589" t="s">
        <v>591</v>
      </c>
      <c r="G589" s="3">
        <f t="shared" si="36"/>
        <v>7.5469015320756734E-3</v>
      </c>
      <c r="H589">
        <f t="shared" si="37"/>
        <v>3736.7175000000002</v>
      </c>
      <c r="I589" s="3">
        <f t="shared" si="38"/>
        <v>6.8484738590083626E-3</v>
      </c>
      <c r="J589" s="5" t="str">
        <f t="shared" si="39"/>
        <v>低风险用户</v>
      </c>
    </row>
    <row r="590" spans="1:10" x14ac:dyDescent="0.3">
      <c r="A590" s="1">
        <v>45820</v>
      </c>
      <c r="B590" s="2">
        <v>3689.52</v>
      </c>
      <c r="C590" s="2">
        <v>3711.21</v>
      </c>
      <c r="D590" s="2">
        <v>3716.06</v>
      </c>
      <c r="E590" s="2">
        <v>3685.3</v>
      </c>
      <c r="F590" t="s">
        <v>592</v>
      </c>
      <c r="G590" s="3">
        <f t="shared" si="36"/>
        <v>1.2999595628444861E-3</v>
      </c>
      <c r="H590">
        <f t="shared" si="37"/>
        <v>3742.0554999999999</v>
      </c>
      <c r="I590" s="3">
        <f t="shared" si="38"/>
        <v>7.7725402680435089E-3</v>
      </c>
      <c r="J590" s="5" t="str">
        <f t="shared" si="39"/>
        <v>低风险用户</v>
      </c>
    </row>
    <row r="591" spans="1:10" x14ac:dyDescent="0.3">
      <c r="A591" s="1">
        <v>45821</v>
      </c>
      <c r="B591" s="2">
        <v>3700.5</v>
      </c>
      <c r="C591" s="2">
        <v>3694.96</v>
      </c>
      <c r="D591" s="2">
        <v>3731.14</v>
      </c>
      <c r="E591" s="2">
        <v>3694.39</v>
      </c>
      <c r="F591" t="s">
        <v>593</v>
      </c>
      <c r="G591" s="3">
        <f t="shared" si="36"/>
        <v>2.9759968776426251E-3</v>
      </c>
      <c r="H591">
        <f t="shared" si="37"/>
        <v>3745.8430000000008</v>
      </c>
      <c r="I591" s="3">
        <f t="shared" si="38"/>
        <v>7.9952275496365036E-3</v>
      </c>
      <c r="J591" s="5" t="str">
        <f t="shared" si="39"/>
        <v>低风险用户</v>
      </c>
    </row>
    <row r="592" spans="1:10" x14ac:dyDescent="0.3">
      <c r="A592" s="1">
        <v>45824</v>
      </c>
      <c r="B592" s="2">
        <v>3692.89</v>
      </c>
      <c r="C592" s="2">
        <v>3711.71</v>
      </c>
      <c r="D592" s="2">
        <v>3723.85</v>
      </c>
      <c r="E592" s="2">
        <v>3692.62</v>
      </c>
      <c r="F592" t="s">
        <v>594</v>
      </c>
      <c r="G592" s="3">
        <f t="shared" si="36"/>
        <v>-2.056478854208925E-3</v>
      </c>
      <c r="H592">
        <f t="shared" si="37"/>
        <v>3750.2434999999996</v>
      </c>
      <c r="I592" s="3">
        <f t="shared" si="38"/>
        <v>8.0674280582435018E-3</v>
      </c>
      <c r="J592" s="5" t="str">
        <f t="shared" si="39"/>
        <v>低风险用户</v>
      </c>
    </row>
    <row r="593" spans="1:10" x14ac:dyDescent="0.3">
      <c r="A593" s="1">
        <v>45825</v>
      </c>
      <c r="B593" s="2">
        <v>3714.6</v>
      </c>
      <c r="C593" s="2">
        <v>3738.06</v>
      </c>
      <c r="D593" s="2">
        <v>3738.06</v>
      </c>
      <c r="E593" s="2">
        <v>3711.2</v>
      </c>
      <c r="F593" t="s">
        <v>595</v>
      </c>
      <c r="G593" s="3">
        <f t="shared" si="36"/>
        <v>5.8788645207412185E-3</v>
      </c>
      <c r="H593">
        <f t="shared" si="37"/>
        <v>3755.104499999999</v>
      </c>
      <c r="I593" s="3">
        <f t="shared" si="38"/>
        <v>8.0336231025113936E-3</v>
      </c>
      <c r="J593" s="5" t="str">
        <f t="shared" si="39"/>
        <v>低风险用户</v>
      </c>
    </row>
    <row r="594" spans="1:10" x14ac:dyDescent="0.3">
      <c r="A594" s="1">
        <v>45826</v>
      </c>
      <c r="B594" s="2">
        <v>3738.93</v>
      </c>
      <c r="C594" s="2">
        <v>3672.64</v>
      </c>
      <c r="D594" s="2">
        <v>3740.42</v>
      </c>
      <c r="E594" s="2">
        <v>3664.77</v>
      </c>
      <c r="F594" t="s">
        <v>596</v>
      </c>
      <c r="G594" s="3">
        <f t="shared" si="36"/>
        <v>6.5498303989662216E-3</v>
      </c>
      <c r="H594">
        <f t="shared" si="37"/>
        <v>3757.0054999999993</v>
      </c>
      <c r="I594" s="3">
        <f t="shared" si="38"/>
        <v>8.3321402583703789E-3</v>
      </c>
      <c r="J594" s="5" t="str">
        <f t="shared" si="39"/>
        <v>低风险用户</v>
      </c>
    </row>
    <row r="595" spans="1:10" x14ac:dyDescent="0.3">
      <c r="A595" s="1">
        <v>45827</v>
      </c>
      <c r="B595" s="2">
        <v>3672.44</v>
      </c>
      <c r="C595" s="2">
        <v>3698.31</v>
      </c>
      <c r="D595" s="2">
        <v>3708.46</v>
      </c>
      <c r="E595" s="2">
        <v>3672.44</v>
      </c>
      <c r="F595" t="s">
        <v>597</v>
      </c>
      <c r="G595" s="3">
        <f t="shared" si="36"/>
        <v>-1.7783162562551261E-2</v>
      </c>
      <c r="H595">
        <f t="shared" si="37"/>
        <v>3755.5164999999988</v>
      </c>
      <c r="I595" s="3">
        <f t="shared" si="38"/>
        <v>8.6254898208242056E-3</v>
      </c>
      <c r="J595" s="5" t="str">
        <f t="shared" si="39"/>
        <v>低风险用户</v>
      </c>
    </row>
    <row r="596" spans="1:10" x14ac:dyDescent="0.3">
      <c r="A596" s="1">
        <v>45828</v>
      </c>
      <c r="B596" s="2">
        <v>3705.69</v>
      </c>
      <c r="C596" s="2">
        <v>3715.96</v>
      </c>
      <c r="D596" s="2">
        <v>3718.52</v>
      </c>
      <c r="E596" s="2">
        <v>3705.13</v>
      </c>
      <c r="F596" t="s">
        <v>598</v>
      </c>
      <c r="G596" s="3">
        <f t="shared" si="36"/>
        <v>9.0539260001524877E-3</v>
      </c>
      <c r="H596">
        <f t="shared" si="37"/>
        <v>3758.0659999999989</v>
      </c>
      <c r="I596" s="3">
        <f t="shared" si="38"/>
        <v>7.6244971845200668E-3</v>
      </c>
      <c r="J596" s="5" t="str">
        <f t="shared" si="39"/>
        <v>低风险用户</v>
      </c>
    </row>
    <row r="597" spans="1:10" x14ac:dyDescent="0.3">
      <c r="A597" s="1">
        <v>45831</v>
      </c>
      <c r="B597" s="2">
        <v>3720.5</v>
      </c>
      <c r="C597" s="2">
        <v>3723.42</v>
      </c>
      <c r="D597" s="2">
        <v>3724.07</v>
      </c>
      <c r="E597" s="2">
        <v>3702.69</v>
      </c>
      <c r="F597" t="s">
        <v>599</v>
      </c>
      <c r="G597" s="3">
        <f t="shared" si="36"/>
        <v>3.9965566466703762E-3</v>
      </c>
      <c r="H597">
        <f t="shared" si="37"/>
        <v>3757.6129999999998</v>
      </c>
      <c r="I597" s="3">
        <f t="shared" si="38"/>
        <v>7.5549543929295431E-3</v>
      </c>
      <c r="J597" s="5" t="str">
        <f t="shared" si="39"/>
        <v>低风险用户</v>
      </c>
    </row>
    <row r="598" spans="1:10" x14ac:dyDescent="0.3">
      <c r="A598" s="1">
        <v>45832</v>
      </c>
      <c r="B598" s="2">
        <v>3727.71</v>
      </c>
      <c r="C598" s="2">
        <v>3698.93</v>
      </c>
      <c r="D598" s="2">
        <v>3737.53</v>
      </c>
      <c r="E598" s="2">
        <v>3691.11</v>
      </c>
      <c r="F598" t="s">
        <v>600</v>
      </c>
      <c r="G598" s="3">
        <f t="shared" si="36"/>
        <v>1.9379115710254095E-3</v>
      </c>
      <c r="H598">
        <f t="shared" si="37"/>
        <v>3759.4994999999994</v>
      </c>
      <c r="I598" s="3">
        <f t="shared" si="38"/>
        <v>8.3997796751379243E-3</v>
      </c>
      <c r="J598" s="5" t="str">
        <f t="shared" si="39"/>
        <v>低风险用户</v>
      </c>
    </row>
    <row r="599" spans="1:10" x14ac:dyDescent="0.3">
      <c r="A599" s="1">
        <v>45833</v>
      </c>
      <c r="B599" s="2">
        <v>3708.78</v>
      </c>
      <c r="C599" s="2">
        <v>3740.79</v>
      </c>
      <c r="D599" s="2">
        <v>3749.02</v>
      </c>
      <c r="E599" s="2">
        <v>3699.38</v>
      </c>
      <c r="F599" t="s">
        <v>601</v>
      </c>
      <c r="G599" s="3">
        <f t="shared" si="36"/>
        <v>-5.078184730035286E-3</v>
      </c>
      <c r="H599">
        <f t="shared" si="37"/>
        <v>3759.5915</v>
      </c>
      <c r="I599" s="3">
        <f t="shared" si="38"/>
        <v>8.5863131174997546E-3</v>
      </c>
      <c r="J599" s="5" t="str">
        <f t="shared" si="39"/>
        <v>低风险用户</v>
      </c>
    </row>
    <row r="600" spans="1:10" x14ac:dyDescent="0.3">
      <c r="A600" s="1">
        <v>45834</v>
      </c>
      <c r="B600" s="2">
        <v>3733.51</v>
      </c>
      <c r="C600" s="2">
        <v>3736.94</v>
      </c>
      <c r="D600" s="2">
        <v>3748.82</v>
      </c>
      <c r="E600" s="2">
        <v>3717.31</v>
      </c>
      <c r="F600" t="s">
        <v>602</v>
      </c>
      <c r="G600" s="3">
        <f t="shared" si="36"/>
        <v>6.6679608928003325E-3</v>
      </c>
      <c r="H600">
        <f t="shared" si="37"/>
        <v>3763.3525</v>
      </c>
      <c r="I600" s="3">
        <f t="shared" si="38"/>
        <v>9.0798279165104512E-3</v>
      </c>
      <c r="J600" s="5" t="str">
        <f t="shared" si="39"/>
        <v>低风险用户</v>
      </c>
    </row>
    <row r="601" spans="1:10" x14ac:dyDescent="0.3">
      <c r="A601" s="1">
        <v>45835</v>
      </c>
      <c r="B601" s="2">
        <v>3736.65</v>
      </c>
      <c r="C601" s="2">
        <v>3759.61</v>
      </c>
      <c r="D601" s="2">
        <v>3768.82</v>
      </c>
      <c r="E601" s="2">
        <v>3719.11</v>
      </c>
      <c r="F601" t="s">
        <v>603</v>
      </c>
      <c r="G601" s="3">
        <f t="shared" si="36"/>
        <v>8.4103162975320076E-4</v>
      </c>
      <c r="H601">
        <f t="shared" si="37"/>
        <v>3768.2320000000009</v>
      </c>
      <c r="I601" s="3">
        <f t="shared" si="38"/>
        <v>9.3560003619901633E-3</v>
      </c>
      <c r="J601" s="5" t="str">
        <f t="shared" si="39"/>
        <v>低风险用户</v>
      </c>
    </row>
    <row r="602" spans="1:10" x14ac:dyDescent="0.3">
      <c r="A602" s="1">
        <v>45838</v>
      </c>
      <c r="B602" s="2">
        <v>3760.6</v>
      </c>
      <c r="C602" s="2">
        <v>3764.33</v>
      </c>
      <c r="D602" s="2">
        <v>3775.09</v>
      </c>
      <c r="E602" s="2">
        <v>3755.42</v>
      </c>
      <c r="F602" t="s">
        <v>604</v>
      </c>
      <c r="G602" s="3">
        <f t="shared" si="36"/>
        <v>6.4094844312418391E-3</v>
      </c>
      <c r="H602">
        <f t="shared" si="37"/>
        <v>3772.3160000000012</v>
      </c>
      <c r="I602" s="3">
        <f t="shared" si="38"/>
        <v>9.4139222944774042E-3</v>
      </c>
      <c r="J602" s="5" t="str">
        <f t="shared" si="39"/>
        <v>低风险用户</v>
      </c>
    </row>
    <row r="603" spans="1:10" x14ac:dyDescent="0.3">
      <c r="A603" s="1">
        <v>45839</v>
      </c>
      <c r="B603" s="2">
        <v>3767.54</v>
      </c>
      <c r="C603" s="2">
        <v>3740.58</v>
      </c>
      <c r="D603" s="2">
        <v>3788.32</v>
      </c>
      <c r="E603" s="2">
        <v>3734.72</v>
      </c>
      <c r="F603" t="s">
        <v>605</v>
      </c>
      <c r="G603" s="3">
        <f t="shared" si="36"/>
        <v>1.8454501941179745E-3</v>
      </c>
      <c r="H603">
        <f t="shared" si="37"/>
        <v>3776.6130000000003</v>
      </c>
      <c r="I603" s="3">
        <f t="shared" si="38"/>
        <v>9.4453306595405507E-3</v>
      </c>
      <c r="J603" s="5" t="str">
        <f t="shared" si="39"/>
        <v>低风险用户</v>
      </c>
    </row>
    <row r="604" spans="1:10" x14ac:dyDescent="0.3">
      <c r="A604" s="1">
        <v>45840</v>
      </c>
      <c r="B604" s="2">
        <v>3739.99</v>
      </c>
      <c r="C604" s="2">
        <v>3747.65</v>
      </c>
      <c r="D604" s="2">
        <v>3753.26</v>
      </c>
      <c r="E604" s="2">
        <v>3724.99</v>
      </c>
      <c r="F604" t="s">
        <v>606</v>
      </c>
      <c r="G604" s="3">
        <f t="shared" si="36"/>
        <v>-7.312463835818646E-3</v>
      </c>
      <c r="H604">
        <f t="shared" si="37"/>
        <v>3781.0315000000001</v>
      </c>
      <c r="I604" s="3">
        <f t="shared" si="38"/>
        <v>9.448466587475295E-3</v>
      </c>
      <c r="J604" s="5" t="str">
        <f t="shared" si="39"/>
        <v>低风险用户</v>
      </c>
    </row>
    <row r="605" spans="1:10" x14ac:dyDescent="0.3">
      <c r="A605" s="1">
        <v>45841</v>
      </c>
      <c r="B605" s="2">
        <v>3758.47</v>
      </c>
      <c r="C605" s="2">
        <v>3802.23</v>
      </c>
      <c r="D605" s="2">
        <v>3802.23</v>
      </c>
      <c r="E605" s="2">
        <v>3756.85</v>
      </c>
      <c r="F605" t="s">
        <v>607</v>
      </c>
      <c r="G605" s="3">
        <f t="shared" si="36"/>
        <v>4.9411896823253589E-3</v>
      </c>
      <c r="H605">
        <f t="shared" si="37"/>
        <v>3788.2445000000007</v>
      </c>
      <c r="I605" s="3">
        <f t="shared" si="38"/>
        <v>9.3209977084078265E-3</v>
      </c>
      <c r="J605" s="5" t="str">
        <f t="shared" si="39"/>
        <v>低风险用户</v>
      </c>
    </row>
    <row r="606" spans="1:10" x14ac:dyDescent="0.3">
      <c r="A606" s="1">
        <v>45842</v>
      </c>
      <c r="B606" s="2">
        <v>3812.03</v>
      </c>
      <c r="C606" s="2">
        <v>3808.1</v>
      </c>
      <c r="D606" s="2">
        <v>3817.52</v>
      </c>
      <c r="E606" s="2">
        <v>3790.9</v>
      </c>
      <c r="F606" t="s">
        <v>608</v>
      </c>
      <c r="G606" s="3">
        <f t="shared" si="36"/>
        <v>1.4250479583447627E-2</v>
      </c>
      <c r="H606">
        <f t="shared" si="37"/>
        <v>3799.107</v>
      </c>
      <c r="I606" s="3">
        <f t="shared" si="38"/>
        <v>1.0491947225568343E-2</v>
      </c>
      <c r="J606" s="5" t="str">
        <f t="shared" si="39"/>
        <v>高风险用户</v>
      </c>
    </row>
    <row r="607" spans="1:10" x14ac:dyDescent="0.3">
      <c r="A607" s="1">
        <v>45845</v>
      </c>
      <c r="B607" s="2">
        <v>3820.32</v>
      </c>
      <c r="C607" s="2">
        <v>3839.58</v>
      </c>
      <c r="D607" s="2">
        <v>3839.58</v>
      </c>
      <c r="E607" s="2">
        <v>3814.33</v>
      </c>
      <c r="F607" t="s">
        <v>609</v>
      </c>
      <c r="G607" s="3">
        <f t="shared" si="36"/>
        <v>2.1746943229722648E-3</v>
      </c>
      <c r="H607">
        <f t="shared" si="37"/>
        <v>3806.8840000000005</v>
      </c>
      <c r="I607" s="3">
        <f t="shared" si="38"/>
        <v>1.0189791961193831E-2</v>
      </c>
      <c r="J607" s="5" t="str">
        <f t="shared" si="39"/>
        <v>高风险用户</v>
      </c>
    </row>
    <row r="608" spans="1:10" x14ac:dyDescent="0.3">
      <c r="A608" s="1">
        <v>45846</v>
      </c>
      <c r="B608" s="2">
        <v>3848.95</v>
      </c>
      <c r="C608" s="2">
        <v>3812.99</v>
      </c>
      <c r="D608" s="2">
        <v>3854.26</v>
      </c>
      <c r="E608" s="2">
        <v>3804.59</v>
      </c>
      <c r="F608" t="s">
        <v>610</v>
      </c>
      <c r="G608" s="3">
        <f t="shared" si="36"/>
        <v>7.4941366168278191E-3</v>
      </c>
      <c r="H608">
        <f t="shared" si="37"/>
        <v>3814.8545000000004</v>
      </c>
      <c r="I608" s="3">
        <f t="shared" si="38"/>
        <v>1.0192305598724694E-2</v>
      </c>
      <c r="J608" s="5" t="str">
        <f t="shared" si="39"/>
        <v>高风险用户</v>
      </c>
    </row>
    <row r="609" spans="1:10" x14ac:dyDescent="0.3">
      <c r="A609" s="1">
        <v>45847</v>
      </c>
      <c r="B609" s="2">
        <v>3791.49</v>
      </c>
      <c r="C609" s="2">
        <v>3778.91</v>
      </c>
      <c r="D609" s="2">
        <v>3808.53</v>
      </c>
      <c r="E609" s="2">
        <v>3778.91</v>
      </c>
      <c r="F609" t="s">
        <v>611</v>
      </c>
      <c r="G609" s="3">
        <f t="shared" si="36"/>
        <v>-1.4928746801075627E-2</v>
      </c>
      <c r="H609">
        <f t="shared" si="37"/>
        <v>3821.9145000000003</v>
      </c>
      <c r="I609" s="3">
        <f t="shared" si="38"/>
        <v>1.0114386902842117E-2</v>
      </c>
      <c r="J609" s="5" t="str">
        <f t="shared" si="39"/>
        <v>高风险用户</v>
      </c>
    </row>
    <row r="610" spans="1:10" x14ac:dyDescent="0.3">
      <c r="A610" s="1">
        <v>45848</v>
      </c>
      <c r="B610" s="2">
        <v>3765.27</v>
      </c>
      <c r="C610" s="2">
        <v>3786.93</v>
      </c>
      <c r="D610" s="2">
        <v>3794</v>
      </c>
      <c r="E610" s="2">
        <v>3762</v>
      </c>
      <c r="F610" t="s">
        <v>612</v>
      </c>
      <c r="G610" s="3">
        <f t="shared" si="36"/>
        <v>-6.9154870512647534E-3</v>
      </c>
      <c r="H610">
        <f t="shared" si="37"/>
        <v>3833.3690000000001</v>
      </c>
      <c r="I610" s="3">
        <f t="shared" si="38"/>
        <v>9.3753669218056956E-3</v>
      </c>
      <c r="J610" s="5" t="str">
        <f t="shared" si="39"/>
        <v>低风险用户</v>
      </c>
    </row>
    <row r="611" spans="1:10" x14ac:dyDescent="0.3">
      <c r="A611" s="1">
        <v>45849</v>
      </c>
      <c r="B611" s="2">
        <v>3788.51</v>
      </c>
      <c r="C611" s="2">
        <v>3803.12</v>
      </c>
      <c r="D611" s="2">
        <v>3813.7</v>
      </c>
      <c r="E611" s="2">
        <v>3780.24</v>
      </c>
      <c r="F611" t="s">
        <v>469</v>
      </c>
      <c r="G611" s="3">
        <f t="shared" si="36"/>
        <v>6.1722001343861759E-3</v>
      </c>
      <c r="H611">
        <f t="shared" si="37"/>
        <v>3845.3544999999999</v>
      </c>
      <c r="I611" s="3">
        <f t="shared" si="38"/>
        <v>9.230202599626456E-3</v>
      </c>
      <c r="J611" s="5" t="str">
        <f t="shared" si="39"/>
        <v>低风险用户</v>
      </c>
    </row>
    <row r="612" spans="1:10" x14ac:dyDescent="0.3">
      <c r="A612" s="1">
        <v>45852</v>
      </c>
      <c r="B612" s="2">
        <v>3790.11</v>
      </c>
      <c r="C612" s="2">
        <v>3743.05</v>
      </c>
      <c r="D612" s="2">
        <v>3810.38</v>
      </c>
      <c r="E612" s="2">
        <v>3742.08</v>
      </c>
      <c r="F612" t="s">
        <v>613</v>
      </c>
      <c r="G612" s="3">
        <f t="shared" si="36"/>
        <v>4.2232962299160062E-4</v>
      </c>
      <c r="H612">
        <f t="shared" si="37"/>
        <v>3854.424</v>
      </c>
      <c r="I612" s="3">
        <f t="shared" si="38"/>
        <v>9.5689019558462228E-3</v>
      </c>
      <c r="J612" s="5" t="str">
        <f t="shared" si="39"/>
        <v>高风险用户</v>
      </c>
    </row>
    <row r="613" spans="1:10" x14ac:dyDescent="0.3">
      <c r="A613" s="1">
        <v>45853</v>
      </c>
      <c r="B613" s="2">
        <v>3752.62</v>
      </c>
      <c r="C613" s="2">
        <v>3911.55</v>
      </c>
      <c r="D613" s="2">
        <v>3911.55</v>
      </c>
      <c r="E613" s="2">
        <v>3740.53</v>
      </c>
      <c r="F613" t="s">
        <v>614</v>
      </c>
      <c r="G613" s="3">
        <f t="shared" si="36"/>
        <v>-9.8915334911124572E-3</v>
      </c>
      <c r="H613">
        <f t="shared" si="37"/>
        <v>3864.8185000000003</v>
      </c>
      <c r="I613" s="3">
        <f t="shared" si="38"/>
        <v>9.6127141315020502E-3</v>
      </c>
      <c r="J613" s="5" t="str">
        <f t="shared" si="39"/>
        <v>高风险用户</v>
      </c>
    </row>
    <row r="614" spans="1:10" x14ac:dyDescent="0.3">
      <c r="A614" s="1">
        <v>45854</v>
      </c>
      <c r="B614" s="2">
        <v>3709.15</v>
      </c>
      <c r="C614" s="2">
        <v>3703.51</v>
      </c>
      <c r="D614" s="2">
        <v>3734.22</v>
      </c>
      <c r="E614" s="2">
        <v>3695.84</v>
      </c>
      <c r="F614" t="s">
        <v>615</v>
      </c>
      <c r="G614" s="3">
        <f t="shared" si="36"/>
        <v>-1.1583906710511536E-2</v>
      </c>
      <c r="H614">
        <f t="shared" si="37"/>
        <v>3877.9190000000003</v>
      </c>
      <c r="I614" s="3">
        <f t="shared" si="38"/>
        <v>9.1447698421897455E-3</v>
      </c>
      <c r="J614" s="5" t="str">
        <f t="shared" si="39"/>
        <v>低风险用户</v>
      </c>
    </row>
    <row r="615" spans="1:10" x14ac:dyDescent="0.3">
      <c r="A615" s="1">
        <v>45855</v>
      </c>
      <c r="B615" s="2">
        <v>3723.43</v>
      </c>
      <c r="C615" s="2">
        <v>3711.54</v>
      </c>
      <c r="D615" s="2">
        <v>3748.86</v>
      </c>
      <c r="E615" s="2">
        <v>3701.57</v>
      </c>
      <c r="F615" t="s">
        <v>616</v>
      </c>
      <c r="G615" s="3">
        <f t="shared" si="36"/>
        <v>3.8499386651927653E-3</v>
      </c>
      <c r="H615">
        <f t="shared" si="37"/>
        <v>3892.098500000001</v>
      </c>
      <c r="I615" s="3">
        <f t="shared" si="38"/>
        <v>8.7076425648184123E-3</v>
      </c>
      <c r="J615" s="5" t="str">
        <f t="shared" si="39"/>
        <v>低风险用户</v>
      </c>
    </row>
    <row r="616" spans="1:10" x14ac:dyDescent="0.3">
      <c r="A616" s="1">
        <v>45856</v>
      </c>
      <c r="B616" s="2">
        <v>3696.63</v>
      </c>
      <c r="C616" s="2">
        <v>3751.77</v>
      </c>
      <c r="D616" s="2">
        <v>3756.17</v>
      </c>
      <c r="E616" s="2">
        <v>3695.03</v>
      </c>
      <c r="F616" t="s">
        <v>617</v>
      </c>
      <c r="G616" s="3">
        <f t="shared" si="36"/>
        <v>-7.1976645190052532E-3</v>
      </c>
      <c r="H616">
        <f t="shared" si="37"/>
        <v>3901.0445000000013</v>
      </c>
      <c r="I616" s="3">
        <f t="shared" si="38"/>
        <v>1.051477536962055E-2</v>
      </c>
      <c r="J616" s="5" t="str">
        <f t="shared" si="39"/>
        <v>高风险用户</v>
      </c>
    </row>
    <row r="617" spans="1:10" x14ac:dyDescent="0.3">
      <c r="A617" s="1">
        <v>45859</v>
      </c>
      <c r="B617" s="2">
        <v>3758.23</v>
      </c>
      <c r="C617" s="2">
        <v>3748.07</v>
      </c>
      <c r="D617" s="2">
        <v>3770.06</v>
      </c>
      <c r="E617" s="2">
        <v>3704.68</v>
      </c>
      <c r="F617" t="s">
        <v>618</v>
      </c>
      <c r="G617" s="3">
        <f t="shared" si="36"/>
        <v>1.6663826241739073E-2</v>
      </c>
      <c r="H617">
        <f t="shared" si="37"/>
        <v>3911.5635000000011</v>
      </c>
      <c r="I617" s="3">
        <f t="shared" si="38"/>
        <v>1.0276276410561488E-2</v>
      </c>
      <c r="J617" s="5" t="str">
        <f t="shared" si="39"/>
        <v>高风险用户</v>
      </c>
    </row>
    <row r="618" spans="1:10" x14ac:dyDescent="0.3">
      <c r="A618" s="1">
        <v>45860</v>
      </c>
      <c r="B618" s="2">
        <v>3729.55</v>
      </c>
      <c r="C618" s="2">
        <v>3773.23</v>
      </c>
      <c r="D618" s="2">
        <v>3782.11</v>
      </c>
      <c r="E618" s="2">
        <v>3729.55</v>
      </c>
      <c r="F618" t="s">
        <v>619</v>
      </c>
      <c r="G618" s="3">
        <f t="shared" si="36"/>
        <v>-7.6312519457297284E-3</v>
      </c>
      <c r="H618">
        <f t="shared" si="37"/>
        <v>3919.4080000000004</v>
      </c>
      <c r="I618" s="3">
        <f t="shared" si="38"/>
        <v>9.7460944436774943E-3</v>
      </c>
      <c r="J618" s="5" t="str">
        <f t="shared" si="39"/>
        <v>高风险用户</v>
      </c>
    </row>
    <row r="619" spans="1:10" x14ac:dyDescent="0.3">
      <c r="A619" s="1">
        <v>45861</v>
      </c>
      <c r="B619" s="2">
        <v>3784</v>
      </c>
      <c r="C619" s="2">
        <v>3832.46</v>
      </c>
      <c r="D619" s="2">
        <v>3844.2</v>
      </c>
      <c r="E619" s="2">
        <v>3784</v>
      </c>
      <c r="F619" t="s">
        <v>620</v>
      </c>
      <c r="G619" s="3">
        <f t="shared" si="36"/>
        <v>1.4599616575726244E-2</v>
      </c>
      <c r="H619">
        <f t="shared" si="37"/>
        <v>3923.1914999999999</v>
      </c>
      <c r="I619" s="3">
        <f t="shared" si="38"/>
        <v>1.1695929528176136E-2</v>
      </c>
      <c r="J619" s="5" t="str">
        <f t="shared" si="39"/>
        <v>高风险用户</v>
      </c>
    </row>
    <row r="620" spans="1:10" x14ac:dyDescent="0.3">
      <c r="A620" s="1">
        <v>45862</v>
      </c>
      <c r="B620" s="2">
        <v>3831.1</v>
      </c>
      <c r="C620" s="2">
        <v>3801.2</v>
      </c>
      <c r="D620" s="2">
        <v>3836.15</v>
      </c>
      <c r="E620" s="2">
        <v>3782.5</v>
      </c>
      <c r="F620" t="s">
        <v>621</v>
      </c>
      <c r="G620" s="3">
        <f t="shared" si="36"/>
        <v>1.2447145877378411E-2</v>
      </c>
      <c r="H620">
        <f t="shared" si="37"/>
        <v>3925.0870000000004</v>
      </c>
      <c r="I620" s="3">
        <f t="shared" si="38"/>
        <v>1.129003559861674E-2</v>
      </c>
      <c r="J620" s="5" t="str">
        <f t="shared" si="39"/>
        <v>高风险用户</v>
      </c>
    </row>
    <row r="621" spans="1:10" x14ac:dyDescent="0.3">
      <c r="A621" s="1">
        <v>45863</v>
      </c>
      <c r="B621" s="2">
        <v>3818.33</v>
      </c>
      <c r="C621" s="2">
        <v>3830.83</v>
      </c>
      <c r="D621" s="2">
        <v>3852.42</v>
      </c>
      <c r="E621" s="2">
        <v>3817.63</v>
      </c>
      <c r="F621" t="s">
        <v>622</v>
      </c>
      <c r="G621" s="3">
        <f t="shared" si="36"/>
        <v>-3.3332463261204308E-3</v>
      </c>
      <c r="H621">
        <f t="shared" si="37"/>
        <v>3924.7165</v>
      </c>
      <c r="I621" s="3">
        <f t="shared" si="38"/>
        <v>1.093845672771125E-2</v>
      </c>
      <c r="J621" s="5" t="str">
        <f t="shared" si="39"/>
        <v>高风险用户</v>
      </c>
    </row>
    <row r="622" spans="1:10" x14ac:dyDescent="0.3">
      <c r="A622" s="1">
        <v>45866</v>
      </c>
      <c r="B622" s="2">
        <v>3846.54</v>
      </c>
      <c r="C622" s="2">
        <v>3858.37</v>
      </c>
      <c r="D622" s="2">
        <v>3865.28</v>
      </c>
      <c r="E622" s="2">
        <v>3811.68</v>
      </c>
      <c r="F622" t="s">
        <v>623</v>
      </c>
      <c r="G622" s="3">
        <f t="shared" si="36"/>
        <v>7.388046606762652E-3</v>
      </c>
      <c r="H622">
        <f t="shared" si="37"/>
        <v>3926.3435000000004</v>
      </c>
      <c r="I622" s="3">
        <f t="shared" si="38"/>
        <v>1.1021845891182264E-2</v>
      </c>
      <c r="J622" s="5" t="str">
        <f t="shared" si="39"/>
        <v>高风险用户</v>
      </c>
    </row>
    <row r="623" spans="1:10" x14ac:dyDescent="0.3">
      <c r="A623" s="1">
        <v>45867</v>
      </c>
      <c r="B623" s="2">
        <v>3855.91</v>
      </c>
      <c r="C623" s="2">
        <v>3840.89</v>
      </c>
      <c r="D623" s="2">
        <v>3859.47</v>
      </c>
      <c r="E623" s="2">
        <v>3814.07</v>
      </c>
      <c r="F623" t="s">
        <v>624</v>
      </c>
      <c r="G623" s="3">
        <f t="shared" si="36"/>
        <v>2.4359554300747923E-3</v>
      </c>
      <c r="H623">
        <f t="shared" si="37"/>
        <v>3926.7635</v>
      </c>
      <c r="I623" s="3">
        <f t="shared" si="38"/>
        <v>1.0903353617317176E-2</v>
      </c>
      <c r="J623" s="5" t="str">
        <f t="shared" si="39"/>
        <v>高风险用户</v>
      </c>
    </row>
    <row r="624" spans="1:10" x14ac:dyDescent="0.3">
      <c r="A624" s="1">
        <v>45868</v>
      </c>
      <c r="B624" s="2">
        <v>3884.25</v>
      </c>
      <c r="C624" s="2">
        <v>3977.98</v>
      </c>
      <c r="D624" s="2">
        <v>3977.98</v>
      </c>
      <c r="E624" s="2">
        <v>3884.25</v>
      </c>
      <c r="F624" t="s">
        <v>625</v>
      </c>
      <c r="G624" s="3">
        <f t="shared" si="36"/>
        <v>7.349756607389733E-3</v>
      </c>
      <c r="H624">
        <f t="shared" si="37"/>
        <v>3927.3265000000001</v>
      </c>
      <c r="I624" s="3">
        <f t="shared" si="38"/>
        <v>1.0912665177422369E-2</v>
      </c>
      <c r="J624" s="5" t="str">
        <f t="shared" si="39"/>
        <v>高风险用户</v>
      </c>
    </row>
    <row r="625" spans="1:10" x14ac:dyDescent="0.3">
      <c r="A625" s="1">
        <v>45869</v>
      </c>
      <c r="B625" s="2">
        <v>3975.72</v>
      </c>
      <c r="C625" s="2">
        <v>3962.86</v>
      </c>
      <c r="D625" s="2">
        <v>3976.46</v>
      </c>
      <c r="E625" s="2">
        <v>3945.39</v>
      </c>
      <c r="F625" t="s">
        <v>626</v>
      </c>
      <c r="G625" s="3">
        <f t="shared" si="36"/>
        <v>2.3548947673295951E-2</v>
      </c>
      <c r="H625">
        <f t="shared" si="37"/>
        <v>3928.0690000000004</v>
      </c>
      <c r="I625" s="3">
        <f t="shared" si="38"/>
        <v>1.0945761075366673E-2</v>
      </c>
      <c r="J625" s="5" t="str">
        <f t="shared" si="39"/>
        <v>高风险用户</v>
      </c>
    </row>
    <row r="626" spans="1:10" x14ac:dyDescent="0.3">
      <c r="A626" s="1">
        <v>45870</v>
      </c>
      <c r="B626" s="2">
        <v>3967.57</v>
      </c>
      <c r="C626" s="2">
        <v>3967.36</v>
      </c>
      <c r="D626" s="2">
        <v>3982.11</v>
      </c>
      <c r="E626" s="2">
        <v>3961.84</v>
      </c>
      <c r="F626" t="s">
        <v>627</v>
      </c>
      <c r="G626" s="3">
        <f t="shared" si="36"/>
        <v>-2.0499431549504585E-3</v>
      </c>
      <c r="H626">
        <f t="shared" si="37"/>
        <v>3924.2040000000006</v>
      </c>
      <c r="I626" s="3">
        <f t="shared" si="38"/>
        <v>9.4743197345350059E-3</v>
      </c>
      <c r="J626" s="5" t="str">
        <f t="shared" si="39"/>
        <v>低风险用户</v>
      </c>
    </row>
    <row r="627" spans="1:10" x14ac:dyDescent="0.3">
      <c r="A627" s="1">
        <v>45873</v>
      </c>
      <c r="B627" s="2">
        <v>3979.73</v>
      </c>
      <c r="C627" s="2">
        <v>3980.04</v>
      </c>
      <c r="D627" s="2">
        <v>4002.29</v>
      </c>
      <c r="E627" s="2">
        <v>3963.46</v>
      </c>
      <c r="F627" t="s">
        <v>628</v>
      </c>
      <c r="G627" s="3">
        <f t="shared" si="36"/>
        <v>3.0648482572455823E-3</v>
      </c>
      <c r="H627">
        <f t="shared" si="37"/>
        <v>3917.9975000000013</v>
      </c>
      <c r="I627" s="3">
        <f t="shared" si="38"/>
        <v>9.9215620264044985E-3</v>
      </c>
      <c r="J627" s="5" t="str">
        <f t="shared" si="39"/>
        <v>高风险用户</v>
      </c>
    </row>
    <row r="628" spans="1:10" x14ac:dyDescent="0.3">
      <c r="A628" s="1">
        <v>45874</v>
      </c>
      <c r="B628" s="2">
        <v>3990.15</v>
      </c>
      <c r="C628" s="2">
        <v>4002.97</v>
      </c>
      <c r="D628" s="2">
        <v>4002.97</v>
      </c>
      <c r="E628" s="2">
        <v>3977.02</v>
      </c>
      <c r="F628" t="s">
        <v>629</v>
      </c>
      <c r="G628" s="3">
        <f t="shared" si="36"/>
        <v>2.6182680734622883E-3</v>
      </c>
      <c r="H628">
        <f t="shared" si="37"/>
        <v>3912.4855000000011</v>
      </c>
      <c r="I628" s="3">
        <f t="shared" si="38"/>
        <v>1.0046229049206932E-2</v>
      </c>
      <c r="J628" s="5" t="str">
        <f t="shared" si="39"/>
        <v>高风险用户</v>
      </c>
    </row>
    <row r="629" spans="1:10" x14ac:dyDescent="0.3">
      <c r="A629" s="1">
        <v>45875</v>
      </c>
      <c r="B629" s="2">
        <v>4020.58</v>
      </c>
      <c r="C629" s="2">
        <v>4033.72</v>
      </c>
      <c r="D629" s="2">
        <v>4058.24</v>
      </c>
      <c r="E629" s="2">
        <v>4011.62</v>
      </c>
      <c r="F629" t="s">
        <v>630</v>
      </c>
      <c r="G629" s="3">
        <f t="shared" si="36"/>
        <v>7.6262797137951798E-3</v>
      </c>
      <c r="H629">
        <f t="shared" si="37"/>
        <v>3905.1945000000005</v>
      </c>
      <c r="I629" s="3">
        <f t="shared" si="38"/>
        <v>1.0063359495679767E-2</v>
      </c>
      <c r="J629" s="5" t="str">
        <f t="shared" si="39"/>
        <v>高风险用户</v>
      </c>
    </row>
    <row r="630" spans="1:10" x14ac:dyDescent="0.3">
      <c r="A630" s="1">
        <v>45876</v>
      </c>
      <c r="B630" s="2">
        <v>4004.98</v>
      </c>
      <c r="C630" s="2">
        <v>3962.13</v>
      </c>
      <c r="D630" s="2">
        <v>4005</v>
      </c>
      <c r="E630" s="2">
        <v>3962.13</v>
      </c>
      <c r="F630" t="s">
        <v>631</v>
      </c>
      <c r="G630" s="3">
        <f t="shared" si="36"/>
        <v>-3.8800372085619262E-3</v>
      </c>
      <c r="H630">
        <f t="shared" si="37"/>
        <v>3895.4505000000004</v>
      </c>
      <c r="I630" s="3">
        <f t="shared" si="38"/>
        <v>9.8315316196942396E-3</v>
      </c>
      <c r="J630" s="5" t="str">
        <f t="shared" si="39"/>
        <v>高风险用户</v>
      </c>
    </row>
    <row r="631" spans="1:10" x14ac:dyDescent="0.3">
      <c r="A631" s="1">
        <v>45877</v>
      </c>
      <c r="B631" s="2">
        <v>3969.9</v>
      </c>
      <c r="C631" s="2">
        <v>3985.7</v>
      </c>
      <c r="D631" s="2">
        <v>4008.33</v>
      </c>
      <c r="E631" s="2">
        <v>3958.51</v>
      </c>
      <c r="F631" t="s">
        <v>632</v>
      </c>
      <c r="G631" s="3">
        <f t="shared" si="36"/>
        <v>-8.7590949268160963E-3</v>
      </c>
      <c r="H631">
        <f t="shared" si="37"/>
        <v>3887.3389999999999</v>
      </c>
      <c r="I631" s="3">
        <f t="shared" si="38"/>
        <v>9.9431261154086063E-3</v>
      </c>
      <c r="J631" s="5" t="str">
        <f t="shared" si="39"/>
        <v>高风险用户</v>
      </c>
    </row>
    <row r="632" spans="1:10" x14ac:dyDescent="0.3">
      <c r="A632" s="1">
        <v>45880</v>
      </c>
      <c r="B632" s="2">
        <v>3998</v>
      </c>
      <c r="C632" s="2">
        <v>4009.18</v>
      </c>
      <c r="D632" s="2">
        <v>4031.7</v>
      </c>
      <c r="E632" s="2">
        <v>3983.03</v>
      </c>
      <c r="F632" t="s">
        <v>633</v>
      </c>
      <c r="G632" s="3">
        <f t="shared" si="36"/>
        <v>7.0782639361192745E-3</v>
      </c>
      <c r="H632">
        <f t="shared" si="37"/>
        <v>3882.2844999999993</v>
      </c>
      <c r="I632" s="3">
        <f t="shared" si="38"/>
        <v>9.9956873137686079E-3</v>
      </c>
      <c r="J632" s="5" t="str">
        <f t="shared" si="39"/>
        <v>高风险用户</v>
      </c>
    </row>
    <row r="633" spans="1:10" x14ac:dyDescent="0.3">
      <c r="A633" s="1">
        <v>45881</v>
      </c>
      <c r="B633" s="2">
        <v>4014.63</v>
      </c>
      <c r="C633" s="2">
        <v>4018.89</v>
      </c>
      <c r="D633" s="2">
        <v>4064.36</v>
      </c>
      <c r="E633" s="2">
        <v>4002.08</v>
      </c>
      <c r="F633" t="s">
        <v>634</v>
      </c>
      <c r="G633" s="3">
        <f t="shared" si="36"/>
        <v>4.159579789894975E-3</v>
      </c>
      <c r="H633">
        <f t="shared" si="37"/>
        <v>3877.335</v>
      </c>
      <c r="I633" s="3">
        <f t="shared" si="38"/>
        <v>1.0028835396169094E-2</v>
      </c>
      <c r="J633" s="5" t="str">
        <f t="shared" si="39"/>
        <v>高风险用户</v>
      </c>
    </row>
    <row r="634" spans="1:10" x14ac:dyDescent="0.3">
      <c r="A634" s="1">
        <v>45882</v>
      </c>
      <c r="B634" s="2">
        <v>3992.74</v>
      </c>
      <c r="C634" s="2">
        <v>3889.79</v>
      </c>
      <c r="D634" s="2">
        <v>4000.92</v>
      </c>
      <c r="E634" s="2">
        <v>3886.55</v>
      </c>
      <c r="F634" t="s">
        <v>635</v>
      </c>
      <c r="G634" s="3">
        <f t="shared" si="36"/>
        <v>-5.4525572717785513E-3</v>
      </c>
      <c r="H634">
        <f t="shared" si="37"/>
        <v>3871.2474999999999</v>
      </c>
      <c r="I634" s="3">
        <f t="shared" si="38"/>
        <v>9.9490612745375372E-3</v>
      </c>
      <c r="J634" s="5" t="str">
        <f t="shared" si="39"/>
        <v>高风险用户</v>
      </c>
    </row>
    <row r="635" spans="1:10" x14ac:dyDescent="0.3">
      <c r="A635" s="1">
        <v>45883</v>
      </c>
      <c r="B635" s="2">
        <v>3902.35</v>
      </c>
      <c r="C635" s="2">
        <v>3914.23</v>
      </c>
      <c r="D635" s="2">
        <v>3935.36</v>
      </c>
      <c r="E635" s="2">
        <v>3894.69</v>
      </c>
      <c r="F635" t="s">
        <v>636</v>
      </c>
      <c r="G635" s="3">
        <f t="shared" si="36"/>
        <v>-2.2638589039105948E-2</v>
      </c>
      <c r="H635">
        <f t="shared" si="37"/>
        <v>3863.7329999999993</v>
      </c>
      <c r="I635" s="3">
        <f t="shared" si="38"/>
        <v>1.02433382757705E-2</v>
      </c>
      <c r="J635" s="5" t="str">
        <f t="shared" si="39"/>
        <v>高风险用户</v>
      </c>
    </row>
    <row r="636" spans="1:10" x14ac:dyDescent="0.3">
      <c r="A636" s="1">
        <v>45884</v>
      </c>
      <c r="B636" s="2">
        <v>3907.01</v>
      </c>
      <c r="C636" s="2">
        <v>3908.17</v>
      </c>
      <c r="D636" s="2">
        <v>3912.98</v>
      </c>
      <c r="E636" s="2">
        <v>3893.4</v>
      </c>
      <c r="F636" t="s">
        <v>637</v>
      </c>
      <c r="G636" s="3">
        <f t="shared" si="36"/>
        <v>1.1941522415980907E-3</v>
      </c>
      <c r="H636">
        <f t="shared" si="37"/>
        <v>3859.7074999999995</v>
      </c>
      <c r="I636" s="3">
        <f t="shared" si="38"/>
        <v>9.059488653046106E-3</v>
      </c>
      <c r="J636" s="5" t="str">
        <f t="shared" si="39"/>
        <v>低风险用户</v>
      </c>
    </row>
    <row r="637" spans="1:10" x14ac:dyDescent="0.3">
      <c r="A637" s="1">
        <v>45887</v>
      </c>
      <c r="B637" s="2">
        <v>3915.12</v>
      </c>
      <c r="C637" s="2">
        <v>3866.64</v>
      </c>
      <c r="D637" s="2">
        <v>3915.81</v>
      </c>
      <c r="E637" s="2">
        <v>3866.64</v>
      </c>
      <c r="F637" t="s">
        <v>638</v>
      </c>
      <c r="G637" s="3">
        <f t="shared" si="36"/>
        <v>2.0757561408851453E-3</v>
      </c>
      <c r="H637">
        <f t="shared" si="37"/>
        <v>3856.3969999999995</v>
      </c>
      <c r="I637" s="3">
        <f t="shared" si="38"/>
        <v>9.1462962249428004E-3</v>
      </c>
      <c r="J637" s="5" t="str">
        <f t="shared" si="39"/>
        <v>低风险用户</v>
      </c>
    </row>
    <row r="638" spans="1:10" x14ac:dyDescent="0.3">
      <c r="A638" s="1">
        <v>45888</v>
      </c>
      <c r="B638" s="2">
        <v>3805.22</v>
      </c>
      <c r="C638" s="2">
        <v>3803.35</v>
      </c>
      <c r="D638" s="2">
        <v>3828.79</v>
      </c>
      <c r="E638" s="2">
        <v>3798.8</v>
      </c>
      <c r="F638" t="s">
        <v>639</v>
      </c>
      <c r="G638" s="3">
        <f t="shared" si="36"/>
        <v>-2.8070659392304728E-2</v>
      </c>
      <c r="H638">
        <f t="shared" si="37"/>
        <v>3852.9124999999995</v>
      </c>
      <c r="I638" s="3">
        <f t="shared" si="38"/>
        <v>9.1338858345665786E-3</v>
      </c>
      <c r="J638" s="5" t="str">
        <f t="shared" si="39"/>
        <v>低风险用户</v>
      </c>
    </row>
    <row r="639" spans="1:10" x14ac:dyDescent="0.3">
      <c r="A639" s="1">
        <v>45889</v>
      </c>
      <c r="B639" s="2">
        <v>3821.91</v>
      </c>
      <c r="C639" s="2">
        <v>3816.98</v>
      </c>
      <c r="D639" s="2">
        <v>3849.51</v>
      </c>
      <c r="E639" s="2">
        <v>3808.8</v>
      </c>
      <c r="F639" t="s">
        <v>640</v>
      </c>
      <c r="G639" s="3">
        <f t="shared" si="36"/>
        <v>4.3860801740766781E-3</v>
      </c>
      <c r="H639">
        <f t="shared" si="37"/>
        <v>3853.1364999999992</v>
      </c>
      <c r="I639" s="3">
        <f t="shared" si="38"/>
        <v>6.8751180340033222E-3</v>
      </c>
      <c r="J639" s="5" t="str">
        <f t="shared" si="39"/>
        <v>低风险用户</v>
      </c>
    </row>
    <row r="640" spans="1:10" x14ac:dyDescent="0.3">
      <c r="A640" s="1">
        <v>45890</v>
      </c>
      <c r="B640" s="2">
        <v>3823.69</v>
      </c>
      <c r="C640" s="2">
        <v>3857.77</v>
      </c>
      <c r="D640" s="2">
        <v>3875.62</v>
      </c>
      <c r="E640" s="2">
        <v>3818.71</v>
      </c>
      <c r="F640" t="s">
        <v>641</v>
      </c>
      <c r="G640" s="3">
        <f t="shared" si="36"/>
        <v>4.6573571852822281E-4</v>
      </c>
      <c r="H640">
        <f t="shared" si="37"/>
        <v>3855.2424999999994</v>
      </c>
      <c r="I640" s="3">
        <f t="shared" si="38"/>
        <v>7.5244609684645336E-3</v>
      </c>
      <c r="J640" s="5" t="str">
        <f t="shared" si="39"/>
        <v>低风险用户</v>
      </c>
    </row>
    <row r="641" spans="1:10" x14ac:dyDescent="0.3">
      <c r="A641" s="1">
        <v>45891</v>
      </c>
      <c r="B641" s="2">
        <v>3850.87</v>
      </c>
      <c r="C641" s="2">
        <v>3848.48</v>
      </c>
      <c r="D641" s="2">
        <v>3860.01</v>
      </c>
      <c r="E641" s="2">
        <v>3830.41</v>
      </c>
      <c r="F641" t="s">
        <v>642</v>
      </c>
      <c r="G641" s="3">
        <f t="shared" si="36"/>
        <v>7.1083168353082591E-3</v>
      </c>
      <c r="H641">
        <f t="shared" si="37"/>
        <v>3860.2699999999995</v>
      </c>
      <c r="I641" s="3">
        <f t="shared" si="38"/>
        <v>8.2382542943781299E-3</v>
      </c>
      <c r="J641" s="5" t="str">
        <f t="shared" si="39"/>
        <v>低风险用户</v>
      </c>
    </row>
    <row r="642" spans="1:10" x14ac:dyDescent="0.3">
      <c r="A642" s="1">
        <v>45894</v>
      </c>
      <c r="B642" s="2">
        <v>3854.94</v>
      </c>
      <c r="C642" s="2">
        <v>3871.04</v>
      </c>
      <c r="D642" s="2">
        <v>3871.04</v>
      </c>
      <c r="E642" s="2">
        <v>3844.51</v>
      </c>
      <c r="F642" t="s">
        <v>643</v>
      </c>
      <c r="G642" s="3">
        <f t="shared" si="36"/>
        <v>1.0569040242854638E-3</v>
      </c>
      <c r="H642">
        <f t="shared" si="37"/>
        <v>3864.2719999999999</v>
      </c>
      <c r="I642" s="3">
        <f t="shared" si="38"/>
        <v>8.1266386865978864E-3</v>
      </c>
      <c r="J642" s="5" t="str">
        <f t="shared" si="39"/>
        <v>低风险用户</v>
      </c>
    </row>
    <row r="643" spans="1:10" x14ac:dyDescent="0.3">
      <c r="A643" s="1">
        <v>45895</v>
      </c>
      <c r="B643" s="2">
        <v>3867.17</v>
      </c>
      <c r="C643" s="2">
        <v>3881.62</v>
      </c>
      <c r="D643" s="2">
        <v>3881.62</v>
      </c>
      <c r="E643" s="2">
        <v>3852.26</v>
      </c>
      <c r="F643" t="s">
        <v>644</v>
      </c>
      <c r="G643" s="3">
        <f t="shared" ref="G643:G706" si="40">IFERROR((B643-B642)/B642,"")</f>
        <v>3.1725526207930649E-3</v>
      </c>
      <c r="H643">
        <f t="shared" ref="H643:H706" si="41">AVERAGE(B643:B662)</f>
        <v>3869.692500000001</v>
      </c>
      <c r="I643" s="3">
        <f t="shared" ref="I643:I706" si="42">IFERROR(STDEV(G643:G662),"")</f>
        <v>8.2842260187154272E-3</v>
      </c>
      <c r="J643" s="5" t="str">
        <f t="shared" ref="J643:J706" si="43">IF(ROW()&lt;22,"未知",IF(I643&gt;AVERAGE(I:I),"高风险用户","低风险用户"))</f>
        <v>低风险用户</v>
      </c>
    </row>
    <row r="644" spans="1:10" x14ac:dyDescent="0.3">
      <c r="A644" s="1">
        <v>45896</v>
      </c>
      <c r="B644" s="2">
        <v>3899.1</v>
      </c>
      <c r="C644" s="2">
        <v>3904.6</v>
      </c>
      <c r="D644" s="2">
        <v>3908.49</v>
      </c>
      <c r="E644" s="2">
        <v>3893.79</v>
      </c>
      <c r="F644" t="s">
        <v>222</v>
      </c>
      <c r="G644" s="3">
        <f t="shared" si="40"/>
        <v>8.2566838282257665E-3</v>
      </c>
      <c r="H644">
        <f t="shared" si="41"/>
        <v>3872.6090000000004</v>
      </c>
      <c r="I644" s="3">
        <f t="shared" si="42"/>
        <v>8.6240876140565043E-3</v>
      </c>
      <c r="J644" s="5" t="str">
        <f t="shared" si="43"/>
        <v>低风险用户</v>
      </c>
    </row>
    <row r="645" spans="1:10" x14ac:dyDescent="0.3">
      <c r="A645" s="1">
        <v>45897</v>
      </c>
      <c r="B645" s="2">
        <v>3898.42</v>
      </c>
      <c r="C645" s="2">
        <v>3855.66</v>
      </c>
      <c r="D645" s="2">
        <v>3901.1</v>
      </c>
      <c r="E645" s="2">
        <v>3855.66</v>
      </c>
      <c r="F645" t="s">
        <v>645</v>
      </c>
      <c r="G645" s="3">
        <f t="shared" si="40"/>
        <v>-1.7439922033285536E-4</v>
      </c>
      <c r="H645">
        <f t="shared" si="41"/>
        <v>3870.8550000000005</v>
      </c>
      <c r="I645" s="3">
        <f t="shared" si="42"/>
        <v>9.1741780191257529E-3</v>
      </c>
      <c r="J645" s="5" t="str">
        <f t="shared" si="43"/>
        <v>低风险用户</v>
      </c>
    </row>
    <row r="646" spans="1:10" x14ac:dyDescent="0.3">
      <c r="A646" s="1">
        <v>45898</v>
      </c>
      <c r="B646" s="2">
        <v>3843.44</v>
      </c>
      <c r="C646" s="2">
        <v>3864.6</v>
      </c>
      <c r="D646" s="2">
        <v>3874.04</v>
      </c>
      <c r="E646" s="2">
        <v>3838.56</v>
      </c>
      <c r="F646" t="s">
        <v>214</v>
      </c>
      <c r="G646" s="3">
        <f t="shared" si="40"/>
        <v>-1.4103149481071824E-2</v>
      </c>
      <c r="H646">
        <f t="shared" si="41"/>
        <v>3869.1795000000006</v>
      </c>
      <c r="I646" s="3">
        <f t="shared" si="42"/>
        <v>9.175175506096098E-3</v>
      </c>
      <c r="J646" s="5" t="str">
        <f t="shared" si="43"/>
        <v>低风险用户</v>
      </c>
    </row>
    <row r="647" spans="1:10" x14ac:dyDescent="0.3">
      <c r="A647" s="1">
        <v>45901</v>
      </c>
      <c r="B647" s="2">
        <v>3869.49</v>
      </c>
      <c r="C647" s="2">
        <v>3853.8</v>
      </c>
      <c r="D647" s="2">
        <v>3870.65</v>
      </c>
      <c r="E647" s="2">
        <v>3844.52</v>
      </c>
      <c r="F647" t="s">
        <v>646</v>
      </c>
      <c r="G647" s="3">
        <f t="shared" si="40"/>
        <v>6.777782403263672E-3</v>
      </c>
      <c r="H647">
        <f t="shared" si="41"/>
        <v>3869.2290000000003</v>
      </c>
      <c r="I647" s="3">
        <f t="shared" si="42"/>
        <v>8.6805647516605359E-3</v>
      </c>
      <c r="J647" s="5" t="str">
        <f t="shared" si="43"/>
        <v>低风险用户</v>
      </c>
    </row>
    <row r="648" spans="1:10" x14ac:dyDescent="0.3">
      <c r="A648" s="1">
        <v>45902</v>
      </c>
      <c r="B648" s="2">
        <v>3844.33</v>
      </c>
      <c r="C648" s="2">
        <v>3841.56</v>
      </c>
      <c r="D648" s="2">
        <v>3865.46</v>
      </c>
      <c r="E648" s="2">
        <v>3831.92</v>
      </c>
      <c r="F648" t="s">
        <v>647</v>
      </c>
      <c r="G648" s="3">
        <f t="shared" si="40"/>
        <v>-6.5021488619946962E-3</v>
      </c>
      <c r="H648">
        <f t="shared" si="41"/>
        <v>3867.5894999999991</v>
      </c>
      <c r="I648" s="3">
        <f t="shared" si="42"/>
        <v>8.5433571618177117E-3</v>
      </c>
      <c r="J648" s="5" t="str">
        <f t="shared" si="43"/>
        <v>低风险用户</v>
      </c>
    </row>
    <row r="649" spans="1:10" x14ac:dyDescent="0.3">
      <c r="A649" s="1">
        <v>45903</v>
      </c>
      <c r="B649" s="2">
        <v>3825.7</v>
      </c>
      <c r="C649" s="2">
        <v>3831.6</v>
      </c>
      <c r="D649" s="2">
        <v>3844.84</v>
      </c>
      <c r="E649" s="2">
        <v>3819.08</v>
      </c>
      <c r="F649" t="s">
        <v>648</v>
      </c>
      <c r="G649" s="3">
        <f t="shared" si="40"/>
        <v>-4.8460980196809609E-3</v>
      </c>
      <c r="H649">
        <f t="shared" si="41"/>
        <v>3866.3824999999988</v>
      </c>
      <c r="I649" s="3">
        <f t="shared" si="42"/>
        <v>8.4744390042188148E-3</v>
      </c>
      <c r="J649" s="5" t="str">
        <f t="shared" si="43"/>
        <v>低风险用户</v>
      </c>
    </row>
    <row r="650" spans="1:10" x14ac:dyDescent="0.3">
      <c r="A650" s="1">
        <v>45904</v>
      </c>
      <c r="B650" s="2">
        <v>3842.75</v>
      </c>
      <c r="C650" s="2">
        <v>3857.03</v>
      </c>
      <c r="D650" s="2">
        <v>3876.89</v>
      </c>
      <c r="E650" s="2">
        <v>3836.46</v>
      </c>
      <c r="F650" t="s">
        <v>649</v>
      </c>
      <c r="G650" s="3">
        <f t="shared" si="40"/>
        <v>4.4567007345061513E-3</v>
      </c>
      <c r="H650">
        <f t="shared" si="41"/>
        <v>3864.564499999999</v>
      </c>
      <c r="I650" s="3">
        <f t="shared" si="42"/>
        <v>8.5958997369282794E-3</v>
      </c>
      <c r="J650" s="5" t="str">
        <f t="shared" si="43"/>
        <v>低风险用户</v>
      </c>
    </row>
    <row r="651" spans="1:10" x14ac:dyDescent="0.3">
      <c r="A651" s="1">
        <v>45905</v>
      </c>
      <c r="B651" s="2">
        <v>3868.81</v>
      </c>
      <c r="C651" s="2">
        <v>3895.19</v>
      </c>
      <c r="D651" s="2">
        <v>3899.52</v>
      </c>
      <c r="E651" s="2">
        <v>3864.13</v>
      </c>
      <c r="F651" t="s">
        <v>650</v>
      </c>
      <c r="G651" s="3">
        <f t="shared" si="40"/>
        <v>6.7816017175199913E-3</v>
      </c>
      <c r="H651">
        <f t="shared" si="41"/>
        <v>3862.8350000000005</v>
      </c>
      <c r="I651" s="3">
        <f t="shared" si="42"/>
        <v>8.6119345992175939E-3</v>
      </c>
      <c r="J651" s="5" t="str">
        <f t="shared" si="43"/>
        <v>低风险用户</v>
      </c>
    </row>
    <row r="652" spans="1:10" x14ac:dyDescent="0.3">
      <c r="A652" s="1">
        <v>45908</v>
      </c>
      <c r="B652" s="2">
        <v>3899.01</v>
      </c>
      <c r="C652" s="2">
        <v>3888.03</v>
      </c>
      <c r="D652" s="2">
        <v>3899.98</v>
      </c>
      <c r="E652" s="2">
        <v>3878.4</v>
      </c>
      <c r="F652" t="s">
        <v>651</v>
      </c>
      <c r="G652" s="3">
        <f t="shared" si="40"/>
        <v>7.8060178711284022E-3</v>
      </c>
      <c r="H652">
        <f t="shared" si="41"/>
        <v>3861.6069999999991</v>
      </c>
      <c r="I652" s="3">
        <f t="shared" si="42"/>
        <v>8.7504893654139042E-3</v>
      </c>
      <c r="J652" s="5" t="str">
        <f t="shared" si="43"/>
        <v>低风险用户</v>
      </c>
    </row>
    <row r="653" spans="1:10" x14ac:dyDescent="0.3">
      <c r="A653" s="1">
        <v>45909</v>
      </c>
      <c r="B653" s="2">
        <v>3892.88</v>
      </c>
      <c r="C653" s="2">
        <v>3853.29</v>
      </c>
      <c r="D653" s="2">
        <v>3897.33</v>
      </c>
      <c r="E653" s="2">
        <v>3853.29</v>
      </c>
      <c r="F653" t="s">
        <v>652</v>
      </c>
      <c r="G653" s="3">
        <f t="shared" si="40"/>
        <v>-1.5721939671865701E-3</v>
      </c>
      <c r="H653">
        <f t="shared" si="41"/>
        <v>3859.7480000000005</v>
      </c>
      <c r="I653" s="3">
        <f t="shared" si="42"/>
        <v>8.6221353845324176E-3</v>
      </c>
      <c r="J653" s="5" t="str">
        <f t="shared" si="43"/>
        <v>低风险用户</v>
      </c>
    </row>
    <row r="654" spans="1:10" x14ac:dyDescent="0.3">
      <c r="A654" s="1">
        <v>45910</v>
      </c>
      <c r="B654" s="2">
        <v>3842.45</v>
      </c>
      <c r="C654" s="2">
        <v>3816.33</v>
      </c>
      <c r="D654" s="2">
        <v>3860.03</v>
      </c>
      <c r="E654" s="2">
        <v>3813.55</v>
      </c>
      <c r="F654" t="s">
        <v>653</v>
      </c>
      <c r="G654" s="3">
        <f t="shared" si="40"/>
        <v>-1.2954419350198386E-2</v>
      </c>
      <c r="H654">
        <f t="shared" si="41"/>
        <v>3855.4474999999998</v>
      </c>
      <c r="I654" s="3">
        <f t="shared" si="42"/>
        <v>9.1574062772437747E-3</v>
      </c>
      <c r="J654" s="5" t="str">
        <f t="shared" si="43"/>
        <v>低风险用户</v>
      </c>
    </row>
    <row r="655" spans="1:10" x14ac:dyDescent="0.3">
      <c r="A655" s="1">
        <v>45911</v>
      </c>
      <c r="B655" s="2">
        <v>3821.84</v>
      </c>
      <c r="C655" s="2">
        <v>3836.73</v>
      </c>
      <c r="D655" s="2">
        <v>3840.71</v>
      </c>
      <c r="E655" s="2">
        <v>3817.38</v>
      </c>
      <c r="F655" t="s">
        <v>587</v>
      </c>
      <c r="G655" s="3">
        <f t="shared" si="40"/>
        <v>-5.363765305989583E-3</v>
      </c>
      <c r="H655">
        <f t="shared" si="41"/>
        <v>3853.2519999999995</v>
      </c>
      <c r="I655" s="3">
        <f t="shared" si="42"/>
        <v>8.7288440800686214E-3</v>
      </c>
      <c r="J655" s="5" t="str">
        <f t="shared" si="43"/>
        <v>低风险用户</v>
      </c>
    </row>
    <row r="656" spans="1:10" x14ac:dyDescent="0.3">
      <c r="A656" s="1">
        <v>45912</v>
      </c>
      <c r="B656" s="2">
        <v>3840.8</v>
      </c>
      <c r="C656" s="2">
        <v>3836.61</v>
      </c>
      <c r="D656" s="2">
        <v>3846.85</v>
      </c>
      <c r="E656" s="2">
        <v>3808.16</v>
      </c>
      <c r="F656" t="s">
        <v>654</v>
      </c>
      <c r="G656" s="3">
        <f t="shared" si="40"/>
        <v>4.9609612124003194E-3</v>
      </c>
      <c r="H656">
        <f t="shared" si="41"/>
        <v>3854.0474999999997</v>
      </c>
      <c r="I656" s="3">
        <f t="shared" si="42"/>
        <v>8.9737300826497005E-3</v>
      </c>
      <c r="J656" s="5" t="str">
        <f t="shared" si="43"/>
        <v>低风险用户</v>
      </c>
    </row>
    <row r="657" spans="1:10" x14ac:dyDescent="0.3">
      <c r="A657" s="1">
        <v>45915</v>
      </c>
      <c r="B657" s="2">
        <v>3845.43</v>
      </c>
      <c r="C657" s="2">
        <v>3811.69</v>
      </c>
      <c r="D657" s="2">
        <v>3851.9</v>
      </c>
      <c r="E657" s="2">
        <v>3806.32</v>
      </c>
      <c r="F657" t="s">
        <v>655</v>
      </c>
      <c r="G657" s="3">
        <f t="shared" si="40"/>
        <v>1.2054780254112825E-3</v>
      </c>
      <c r="H657">
        <f t="shared" si="41"/>
        <v>3853.7044999999998</v>
      </c>
      <c r="I657" s="3">
        <f t="shared" si="42"/>
        <v>8.9075959463506861E-3</v>
      </c>
      <c r="J657" s="5" t="str">
        <f t="shared" si="43"/>
        <v>低风险用户</v>
      </c>
    </row>
    <row r="658" spans="1:10" x14ac:dyDescent="0.3">
      <c r="A658" s="1">
        <v>45916</v>
      </c>
      <c r="B658" s="2">
        <v>3809.7</v>
      </c>
      <c r="C658" s="2">
        <v>3833.44</v>
      </c>
      <c r="D658" s="2">
        <v>3841.29</v>
      </c>
      <c r="E658" s="2">
        <v>3801.05</v>
      </c>
      <c r="F658" t="s">
        <v>656</v>
      </c>
      <c r="G658" s="3">
        <f t="shared" si="40"/>
        <v>-9.2915486694595973E-3</v>
      </c>
      <c r="H658">
        <f t="shared" si="41"/>
        <v>3853.9805000000001</v>
      </c>
      <c r="I658" s="3">
        <f t="shared" si="42"/>
        <v>8.9607422054695865E-3</v>
      </c>
      <c r="J658" s="5" t="str">
        <f t="shared" si="43"/>
        <v>低风险用户</v>
      </c>
    </row>
    <row r="659" spans="1:10" x14ac:dyDescent="0.3">
      <c r="A659" s="1">
        <v>45917</v>
      </c>
      <c r="B659" s="2">
        <v>3864.03</v>
      </c>
      <c r="C659" s="2">
        <v>3909.1</v>
      </c>
      <c r="D659" s="2">
        <v>3920.13</v>
      </c>
      <c r="E659" s="2">
        <v>3864.03</v>
      </c>
      <c r="F659" t="s">
        <v>657</v>
      </c>
      <c r="G659" s="3">
        <f t="shared" si="40"/>
        <v>1.4260965430348948E-2</v>
      </c>
      <c r="H659">
        <f t="shared" si="41"/>
        <v>3856.0205000000001</v>
      </c>
      <c r="I659" s="3">
        <f t="shared" si="42"/>
        <v>8.6847088127432557E-3</v>
      </c>
      <c r="J659" s="5" t="str">
        <f t="shared" si="43"/>
        <v>低风险用户</v>
      </c>
    </row>
    <row r="660" spans="1:10" x14ac:dyDescent="0.3">
      <c r="A660" s="1">
        <v>45918</v>
      </c>
      <c r="B660" s="2">
        <v>3924.24</v>
      </c>
      <c r="C660" s="2">
        <v>3926.09</v>
      </c>
      <c r="D660" s="2">
        <v>3937.49</v>
      </c>
      <c r="E660" s="2">
        <v>3918.47</v>
      </c>
      <c r="F660" t="s">
        <v>658</v>
      </c>
      <c r="G660" s="3">
        <f t="shared" si="40"/>
        <v>1.5582177157009542E-2</v>
      </c>
      <c r="H660">
        <f t="shared" si="41"/>
        <v>3855.7735000000002</v>
      </c>
      <c r="I660" s="3">
        <f t="shared" si="42"/>
        <v>8.0821614401755688E-3</v>
      </c>
      <c r="J660" s="5" t="str">
        <f t="shared" si="43"/>
        <v>低风险用户</v>
      </c>
    </row>
    <row r="661" spans="1:10" x14ac:dyDescent="0.3">
      <c r="A661" s="1">
        <v>45919</v>
      </c>
      <c r="B661" s="2">
        <v>3930.91</v>
      </c>
      <c r="C661" s="2">
        <v>3957.03</v>
      </c>
      <c r="D661" s="2">
        <v>3957.03</v>
      </c>
      <c r="E661" s="2">
        <v>3922.47</v>
      </c>
      <c r="F661" t="s">
        <v>659</v>
      </c>
      <c r="G661" s="3">
        <f t="shared" si="40"/>
        <v>1.699692169694023E-3</v>
      </c>
      <c r="H661">
        <f t="shared" si="41"/>
        <v>3855.2210000000005</v>
      </c>
      <c r="I661" s="3">
        <f t="shared" si="42"/>
        <v>7.9293065362300193E-3</v>
      </c>
      <c r="J661" s="5" t="str">
        <f t="shared" si="43"/>
        <v>低风险用户</v>
      </c>
    </row>
    <row r="662" spans="1:10" x14ac:dyDescent="0.3">
      <c r="A662" s="1">
        <v>45922</v>
      </c>
      <c r="B662" s="2">
        <v>3963.35</v>
      </c>
      <c r="C662" s="2">
        <v>3932.21</v>
      </c>
      <c r="D662" s="2">
        <v>3968.01</v>
      </c>
      <c r="E662" s="2">
        <v>3928.54</v>
      </c>
      <c r="F662" t="s">
        <v>660</v>
      </c>
      <c r="G662" s="3">
        <f t="shared" si="40"/>
        <v>8.252542032252088E-3</v>
      </c>
      <c r="H662">
        <f t="shared" si="41"/>
        <v>3857.1420000000007</v>
      </c>
      <c r="I662" s="3">
        <f t="shared" si="42"/>
        <v>8.5604520043893843E-3</v>
      </c>
      <c r="J662" s="5" t="str">
        <f t="shared" si="43"/>
        <v>低风险用户</v>
      </c>
    </row>
    <row r="663" spans="1:10" x14ac:dyDescent="0.3">
      <c r="A663" s="1">
        <v>45923</v>
      </c>
      <c r="B663" s="2">
        <v>3925.5</v>
      </c>
      <c r="C663" s="2">
        <v>3871.77</v>
      </c>
      <c r="D663" s="2">
        <v>3925.5</v>
      </c>
      <c r="E663" s="2">
        <v>3871.77</v>
      </c>
      <c r="F663" t="s">
        <v>661</v>
      </c>
      <c r="G663" s="3">
        <f t="shared" si="40"/>
        <v>-9.5500018923385284E-3</v>
      </c>
      <c r="H663">
        <f t="shared" si="41"/>
        <v>3856.2015000000001</v>
      </c>
      <c r="I663" s="3">
        <f t="shared" si="42"/>
        <v>8.4848186250475795E-3</v>
      </c>
      <c r="J663" s="5" t="str">
        <f t="shared" si="43"/>
        <v>低风险用户</v>
      </c>
    </row>
    <row r="664" spans="1:10" x14ac:dyDescent="0.3">
      <c r="A664" s="1">
        <v>45924</v>
      </c>
      <c r="B664" s="2">
        <v>3864.02</v>
      </c>
      <c r="C664" s="2">
        <v>3872.72</v>
      </c>
      <c r="D664" s="2">
        <v>3891.67</v>
      </c>
      <c r="E664" s="2">
        <v>3862.06</v>
      </c>
      <c r="F664" t="s">
        <v>210</v>
      </c>
      <c r="G664" s="3">
        <f t="shared" si="40"/>
        <v>-1.5661699146605531E-2</v>
      </c>
      <c r="H664">
        <f t="shared" si="41"/>
        <v>3857.7300000000005</v>
      </c>
      <c r="I664" s="3">
        <f t="shared" si="42"/>
        <v>8.215817181295151E-3</v>
      </c>
      <c r="J664" s="5" t="str">
        <f t="shared" si="43"/>
        <v>低风险用户</v>
      </c>
    </row>
    <row r="665" spans="1:10" x14ac:dyDescent="0.3">
      <c r="A665" s="1">
        <v>45925</v>
      </c>
      <c r="B665" s="2">
        <v>3864.91</v>
      </c>
      <c r="C665" s="2">
        <v>3838.13</v>
      </c>
      <c r="D665" s="2">
        <v>3867.3</v>
      </c>
      <c r="E665" s="2">
        <v>3833.46</v>
      </c>
      <c r="F665" t="s">
        <v>662</v>
      </c>
      <c r="G665" s="3">
        <f t="shared" si="40"/>
        <v>2.3033007075529439E-4</v>
      </c>
      <c r="H665">
        <f t="shared" si="41"/>
        <v>3862.5374999999999</v>
      </c>
      <c r="I665" s="3">
        <f t="shared" si="42"/>
        <v>7.2920662716484388E-3</v>
      </c>
      <c r="J665" s="5" t="str">
        <f t="shared" si="43"/>
        <v>低风险用户</v>
      </c>
    </row>
    <row r="666" spans="1:10" x14ac:dyDescent="0.3">
      <c r="A666" s="1">
        <v>45926</v>
      </c>
      <c r="B666" s="2">
        <v>3844.43</v>
      </c>
      <c r="C666" s="2">
        <v>3827.33</v>
      </c>
      <c r="D666" s="2">
        <v>3859.72</v>
      </c>
      <c r="E666" s="2">
        <v>3813.86</v>
      </c>
      <c r="F666" t="s">
        <v>663</v>
      </c>
      <c r="G666" s="3">
        <f t="shared" si="40"/>
        <v>-5.2989590960720997E-3</v>
      </c>
      <c r="H666">
        <f t="shared" si="41"/>
        <v>3868.2025000000003</v>
      </c>
      <c r="I666" s="3">
        <f t="shared" si="42"/>
        <v>7.3241424499974894E-3</v>
      </c>
      <c r="J666" s="5" t="str">
        <f t="shared" si="43"/>
        <v>低风险用户</v>
      </c>
    </row>
    <row r="667" spans="1:10" x14ac:dyDescent="0.3">
      <c r="A667" s="1">
        <v>45929</v>
      </c>
      <c r="B667" s="2">
        <v>3836.7</v>
      </c>
      <c r="C667" s="2">
        <v>3822.41</v>
      </c>
      <c r="D667" s="2">
        <v>3836.7</v>
      </c>
      <c r="E667" s="2">
        <v>3811.22</v>
      </c>
      <c r="F667" t="s">
        <v>664</v>
      </c>
      <c r="G667" s="3">
        <f t="shared" si="40"/>
        <v>-2.0107011962761756E-3</v>
      </c>
      <c r="H667">
        <f t="shared" si="41"/>
        <v>3875.9255000000003</v>
      </c>
      <c r="I667" s="3">
        <f t="shared" si="42"/>
        <v>7.1883145796996124E-3</v>
      </c>
      <c r="J667" s="5" t="str">
        <f t="shared" si="43"/>
        <v>低风险用户</v>
      </c>
    </row>
    <row r="668" spans="1:10" x14ac:dyDescent="0.3">
      <c r="A668" s="1">
        <v>45930</v>
      </c>
      <c r="B668" s="2">
        <v>3820.19</v>
      </c>
      <c r="C668" s="2">
        <v>3791.08</v>
      </c>
      <c r="D668" s="2">
        <v>3834.39</v>
      </c>
      <c r="E668" s="2">
        <v>3777.78</v>
      </c>
      <c r="F668" t="s">
        <v>665</v>
      </c>
      <c r="G668" s="3">
        <f t="shared" si="40"/>
        <v>-4.3031772095810886E-3</v>
      </c>
      <c r="H668">
        <f t="shared" si="41"/>
        <v>3880.9785000000002</v>
      </c>
      <c r="I668" s="3">
        <f t="shared" si="42"/>
        <v>8.1291978776271527E-3</v>
      </c>
      <c r="J668" s="5" t="str">
        <f t="shared" si="43"/>
        <v>低风险用户</v>
      </c>
    </row>
    <row r="669" spans="1:10" x14ac:dyDescent="0.3">
      <c r="A669" s="1">
        <v>45939</v>
      </c>
      <c r="B669" s="2">
        <v>3789.34</v>
      </c>
      <c r="C669" s="2">
        <v>3815.48</v>
      </c>
      <c r="D669" s="2">
        <v>3823.11</v>
      </c>
      <c r="E669" s="2">
        <v>3780.1</v>
      </c>
      <c r="F669" t="s">
        <v>666</v>
      </c>
      <c r="G669" s="3">
        <f t="shared" si="40"/>
        <v>-8.0755145686470849E-3</v>
      </c>
      <c r="H669">
        <f t="shared" si="41"/>
        <v>3889.5020000000004</v>
      </c>
      <c r="I669" s="3">
        <f t="shared" si="42"/>
        <v>8.4434918188962139E-3</v>
      </c>
      <c r="J669" s="5" t="str">
        <f t="shared" si="43"/>
        <v>低风险用户</v>
      </c>
    </row>
    <row r="670" spans="1:10" x14ac:dyDescent="0.3">
      <c r="A670" s="1">
        <v>45940</v>
      </c>
      <c r="B670" s="2">
        <v>3808.16</v>
      </c>
      <c r="C670" s="2">
        <v>3840.46</v>
      </c>
      <c r="D670" s="2">
        <v>3867.85</v>
      </c>
      <c r="E670" s="2">
        <v>3802.84</v>
      </c>
      <c r="F670" t="s">
        <v>667</v>
      </c>
      <c r="G670" s="3">
        <f t="shared" si="40"/>
        <v>4.9665640982333881E-3</v>
      </c>
      <c r="H670">
        <f t="shared" si="41"/>
        <v>3899.8785000000003</v>
      </c>
      <c r="I670" s="3">
        <f t="shared" si="42"/>
        <v>8.0928188300325408E-3</v>
      </c>
      <c r="J670" s="5" t="str">
        <f t="shared" si="43"/>
        <v>低风险用户</v>
      </c>
    </row>
    <row r="671" spans="1:10" x14ac:dyDescent="0.3">
      <c r="A671" s="1">
        <v>45943</v>
      </c>
      <c r="B671" s="2">
        <v>3844.25</v>
      </c>
      <c r="C671" s="2">
        <v>3860.56</v>
      </c>
      <c r="D671" s="2">
        <v>3860.56</v>
      </c>
      <c r="E671" s="2">
        <v>3832.46</v>
      </c>
      <c r="F671" t="s">
        <v>668</v>
      </c>
      <c r="G671" s="3">
        <f t="shared" si="40"/>
        <v>9.4770177723625445E-3</v>
      </c>
      <c r="H671">
        <f t="shared" si="41"/>
        <v>3910.8645000000006</v>
      </c>
      <c r="I671" s="3">
        <f t="shared" si="42"/>
        <v>8.1577825068142699E-3</v>
      </c>
      <c r="J671" s="5" t="str">
        <f t="shared" si="43"/>
        <v>低风险用户</v>
      </c>
    </row>
    <row r="672" spans="1:10" x14ac:dyDescent="0.3">
      <c r="A672" s="1">
        <v>45944</v>
      </c>
      <c r="B672" s="2">
        <v>3861.83</v>
      </c>
      <c r="C672" s="2">
        <v>3821.62</v>
      </c>
      <c r="D672" s="2">
        <v>3865.28</v>
      </c>
      <c r="E672" s="2">
        <v>3821.62</v>
      </c>
      <c r="F672" t="s">
        <v>669</v>
      </c>
      <c r="G672" s="3">
        <f t="shared" si="40"/>
        <v>4.5730636665149062E-3</v>
      </c>
      <c r="H672">
        <f t="shared" si="41"/>
        <v>3921.7850000000008</v>
      </c>
      <c r="I672" s="3">
        <f t="shared" si="42"/>
        <v>8.123823887784095E-3</v>
      </c>
      <c r="J672" s="5" t="str">
        <f t="shared" si="43"/>
        <v>低风险用户</v>
      </c>
    </row>
    <row r="673" spans="1:10" x14ac:dyDescent="0.3">
      <c r="A673" s="1">
        <v>45945</v>
      </c>
      <c r="B673" s="2">
        <v>3806.87</v>
      </c>
      <c r="C673" s="2">
        <v>3788.59</v>
      </c>
      <c r="D673" s="2">
        <v>3832.21</v>
      </c>
      <c r="E673" s="2">
        <v>3786.73</v>
      </c>
      <c r="F673" t="s">
        <v>670</v>
      </c>
      <c r="G673" s="3">
        <f t="shared" si="40"/>
        <v>-1.4231594865646607E-2</v>
      </c>
      <c r="H673">
        <f t="shared" si="41"/>
        <v>3929.5374999999999</v>
      </c>
      <c r="I673" s="3">
        <f t="shared" si="42"/>
        <v>8.6939373028844923E-3</v>
      </c>
      <c r="J673" s="5" t="str">
        <f t="shared" si="43"/>
        <v>低风险用户</v>
      </c>
    </row>
    <row r="674" spans="1:10" x14ac:dyDescent="0.3">
      <c r="A674" s="1">
        <v>45946</v>
      </c>
      <c r="B674" s="2">
        <v>3798.54</v>
      </c>
      <c r="C674" s="2">
        <v>3827.16</v>
      </c>
      <c r="D674" s="2">
        <v>3827.16</v>
      </c>
      <c r="E674" s="2">
        <v>3781.4</v>
      </c>
      <c r="F674" t="s">
        <v>671</v>
      </c>
      <c r="G674" s="3">
        <f t="shared" si="40"/>
        <v>-2.1881493195196914E-3</v>
      </c>
      <c r="H674">
        <f t="shared" si="41"/>
        <v>3940.7065000000002</v>
      </c>
      <c r="I674" s="3">
        <f t="shared" si="42"/>
        <v>7.8094908637693396E-3</v>
      </c>
      <c r="J674" s="5" t="str">
        <f t="shared" si="43"/>
        <v>低风险用户</v>
      </c>
    </row>
    <row r="675" spans="1:10" x14ac:dyDescent="0.3">
      <c r="A675" s="1">
        <v>45947</v>
      </c>
      <c r="B675" s="2">
        <v>3837.75</v>
      </c>
      <c r="C675" s="2">
        <v>3827.79</v>
      </c>
      <c r="D675" s="2">
        <v>3844.01</v>
      </c>
      <c r="E675" s="2">
        <v>3789.27</v>
      </c>
      <c r="F675" t="s">
        <v>672</v>
      </c>
      <c r="G675" s="3">
        <f t="shared" si="40"/>
        <v>1.0322387022382293E-2</v>
      </c>
      <c r="H675">
        <f t="shared" si="41"/>
        <v>3952.2340000000004</v>
      </c>
      <c r="I675" s="3">
        <f t="shared" si="42"/>
        <v>7.7559065798564544E-3</v>
      </c>
      <c r="J675" s="5" t="str">
        <f t="shared" si="43"/>
        <v>低风险用户</v>
      </c>
    </row>
    <row r="676" spans="1:10" x14ac:dyDescent="0.3">
      <c r="A676" s="1">
        <v>45950</v>
      </c>
      <c r="B676" s="2">
        <v>3833.94</v>
      </c>
      <c r="C676" s="2">
        <v>3862.08</v>
      </c>
      <c r="D676" s="2">
        <v>3866.72</v>
      </c>
      <c r="E676" s="2">
        <v>3819.18</v>
      </c>
      <c r="F676" t="s">
        <v>673</v>
      </c>
      <c r="G676" s="3">
        <f t="shared" si="40"/>
        <v>-9.9276920070352293E-4</v>
      </c>
      <c r="H676">
        <f t="shared" si="41"/>
        <v>3959.7675000000004</v>
      </c>
      <c r="I676" s="3">
        <f t="shared" si="42"/>
        <v>8.0755344454964198E-3</v>
      </c>
      <c r="J676" s="5" t="str">
        <f t="shared" si="43"/>
        <v>低风险用户</v>
      </c>
    </row>
    <row r="677" spans="1:10" x14ac:dyDescent="0.3">
      <c r="A677" s="1">
        <v>45951</v>
      </c>
      <c r="B677" s="2">
        <v>3850.95</v>
      </c>
      <c r="C677" s="2">
        <v>3848.42</v>
      </c>
      <c r="D677" s="2">
        <v>3859.63</v>
      </c>
      <c r="E677" s="2">
        <v>3815.57</v>
      </c>
      <c r="F677" t="s">
        <v>674</v>
      </c>
      <c r="G677" s="3">
        <f t="shared" si="40"/>
        <v>4.4366891500648847E-3</v>
      </c>
      <c r="H677">
        <f t="shared" si="41"/>
        <v>3966.0319999999992</v>
      </c>
      <c r="I677" s="3">
        <f t="shared" si="42"/>
        <v>8.3174626837958596E-3</v>
      </c>
      <c r="J677" s="5" t="str">
        <f t="shared" si="43"/>
        <v>低风险用户</v>
      </c>
    </row>
    <row r="678" spans="1:10" x14ac:dyDescent="0.3">
      <c r="A678" s="1">
        <v>45952</v>
      </c>
      <c r="B678" s="2">
        <v>3850.5</v>
      </c>
      <c r="C678" s="2">
        <v>3851.41</v>
      </c>
      <c r="D678" s="2">
        <v>3861.38</v>
      </c>
      <c r="E678" s="2">
        <v>3817.84</v>
      </c>
      <c r="F678" t="s">
        <v>675</v>
      </c>
      <c r="G678" s="3">
        <f t="shared" si="40"/>
        <v>-1.1685428270941407E-4</v>
      </c>
      <c r="H678">
        <f t="shared" si="41"/>
        <v>3971.6179999999999</v>
      </c>
      <c r="I678" s="3">
        <f t="shared" si="42"/>
        <v>8.2925916396651943E-3</v>
      </c>
      <c r="J678" s="5" t="str">
        <f t="shared" si="43"/>
        <v>低风险用户</v>
      </c>
    </row>
    <row r="679" spans="1:10" x14ac:dyDescent="0.3">
      <c r="A679" s="1">
        <v>45953</v>
      </c>
      <c r="B679" s="2">
        <v>3859.09</v>
      </c>
      <c r="C679" s="2">
        <v>3903.78</v>
      </c>
      <c r="D679" s="2">
        <v>3903.78</v>
      </c>
      <c r="E679" s="2">
        <v>3859.09</v>
      </c>
      <c r="F679" t="s">
        <v>276</v>
      </c>
      <c r="G679" s="3">
        <f t="shared" si="40"/>
        <v>2.2308791066095691E-3</v>
      </c>
      <c r="H679">
        <f t="shared" si="41"/>
        <v>3978.2249999999999</v>
      </c>
      <c r="I679" s="3">
        <f t="shared" si="42"/>
        <v>8.3209769704616927E-3</v>
      </c>
      <c r="J679" s="5" t="str">
        <f t="shared" si="43"/>
        <v>低风险用户</v>
      </c>
    </row>
    <row r="680" spans="1:10" x14ac:dyDescent="0.3">
      <c r="A680" s="1">
        <v>45954</v>
      </c>
      <c r="B680" s="2">
        <v>3913.19</v>
      </c>
      <c r="C680" s="2">
        <v>3968.23</v>
      </c>
      <c r="D680" s="2">
        <v>3971.94</v>
      </c>
      <c r="E680" s="2">
        <v>3913.19</v>
      </c>
      <c r="F680" t="s">
        <v>676</v>
      </c>
      <c r="G680" s="3">
        <f t="shared" si="40"/>
        <v>1.4018849003262402E-2</v>
      </c>
      <c r="H680">
        <f t="shared" si="41"/>
        <v>3986.8990000000003</v>
      </c>
      <c r="I680" s="3">
        <f t="shared" si="42"/>
        <v>8.6661443849145505E-3</v>
      </c>
      <c r="J680" s="5" t="str">
        <f t="shared" si="43"/>
        <v>低风险用户</v>
      </c>
    </row>
    <row r="681" spans="1:10" x14ac:dyDescent="0.3">
      <c r="A681" s="1">
        <v>45957</v>
      </c>
      <c r="B681" s="2">
        <v>3969.33</v>
      </c>
      <c r="C681" s="2">
        <v>3941</v>
      </c>
      <c r="D681" s="2">
        <v>3985.4</v>
      </c>
      <c r="E681" s="2">
        <v>3935.8</v>
      </c>
      <c r="F681" t="s">
        <v>677</v>
      </c>
      <c r="G681" s="3">
        <f t="shared" si="40"/>
        <v>1.4346351697719731E-2</v>
      </c>
      <c r="H681">
        <f t="shared" si="41"/>
        <v>3996.8905000000004</v>
      </c>
      <c r="I681" s="3">
        <f t="shared" si="42"/>
        <v>9.176984632093892E-3</v>
      </c>
      <c r="J681" s="5" t="str">
        <f t="shared" si="43"/>
        <v>低风险用户</v>
      </c>
    </row>
    <row r="682" spans="1:10" x14ac:dyDescent="0.3">
      <c r="A682" s="1">
        <v>45958</v>
      </c>
      <c r="B682" s="2">
        <v>3944.54</v>
      </c>
      <c r="C682" s="2">
        <v>3946.22</v>
      </c>
      <c r="D682" s="2">
        <v>3967.28</v>
      </c>
      <c r="E682" s="2">
        <v>3928.32</v>
      </c>
      <c r="F682" t="s">
        <v>678</v>
      </c>
      <c r="G682" s="3">
        <f t="shared" si="40"/>
        <v>-6.245386500996381E-3</v>
      </c>
      <c r="H682">
        <f t="shared" si="41"/>
        <v>4004.6520000000005</v>
      </c>
      <c r="I682" s="3">
        <f t="shared" si="42"/>
        <v>8.7479024276764933E-3</v>
      </c>
      <c r="J682" s="5" t="str">
        <f t="shared" si="43"/>
        <v>低风险用户</v>
      </c>
    </row>
    <row r="683" spans="1:10" x14ac:dyDescent="0.3">
      <c r="A683" s="1">
        <v>45959</v>
      </c>
      <c r="B683" s="2">
        <v>3956.07</v>
      </c>
      <c r="C683" s="2">
        <v>3965.52</v>
      </c>
      <c r="D683" s="2">
        <v>3982.72</v>
      </c>
      <c r="E683" s="2">
        <v>3939.55</v>
      </c>
      <c r="F683" t="s">
        <v>679</v>
      </c>
      <c r="G683" s="3">
        <f t="shared" si="40"/>
        <v>2.9230277801721369E-3</v>
      </c>
      <c r="H683">
        <f t="shared" si="41"/>
        <v>4015.5264999999999</v>
      </c>
      <c r="I683" s="3">
        <f t="shared" si="42"/>
        <v>8.6626432475658734E-3</v>
      </c>
      <c r="J683" s="5" t="str">
        <f t="shared" si="43"/>
        <v>低风险用户</v>
      </c>
    </row>
    <row r="684" spans="1:10" x14ac:dyDescent="0.3">
      <c r="A684" s="1">
        <v>45960</v>
      </c>
      <c r="B684" s="2">
        <v>3960.17</v>
      </c>
      <c r="C684" s="2">
        <v>3971.7</v>
      </c>
      <c r="D684" s="2">
        <v>3982.6</v>
      </c>
      <c r="E684" s="2">
        <v>3945.71</v>
      </c>
      <c r="F684" t="s">
        <v>418</v>
      </c>
      <c r="G684" s="3">
        <f t="shared" si="40"/>
        <v>1.0363820660402644E-3</v>
      </c>
      <c r="H684">
        <f t="shared" si="41"/>
        <v>4025.1920000000005</v>
      </c>
      <c r="I684" s="3">
        <f t="shared" si="42"/>
        <v>8.7574656460434816E-3</v>
      </c>
      <c r="J684" s="5" t="str">
        <f t="shared" si="43"/>
        <v>低风险用户</v>
      </c>
    </row>
    <row r="685" spans="1:10" x14ac:dyDescent="0.3">
      <c r="A685" s="1">
        <v>45961</v>
      </c>
      <c r="B685" s="2">
        <v>3978.21</v>
      </c>
      <c r="C685" s="2">
        <v>4002.52</v>
      </c>
      <c r="D685" s="2">
        <v>4005.01</v>
      </c>
      <c r="E685" s="2">
        <v>3966.99</v>
      </c>
      <c r="F685" t="s">
        <v>680</v>
      </c>
      <c r="G685" s="3">
        <f t="shared" si="40"/>
        <v>4.5553599971718296E-3</v>
      </c>
      <c r="H685">
        <f t="shared" si="41"/>
        <v>4031.7835</v>
      </c>
      <c r="I685" s="3">
        <f t="shared" si="42"/>
        <v>9.4822876575138184E-3</v>
      </c>
      <c r="J685" s="5" t="str">
        <f t="shared" si="43"/>
        <v>低风险用户</v>
      </c>
    </row>
    <row r="686" spans="1:10" x14ac:dyDescent="0.3">
      <c r="A686" s="1">
        <v>45964</v>
      </c>
      <c r="B686" s="2">
        <v>3998.89</v>
      </c>
      <c r="C686" s="2">
        <v>3938.83</v>
      </c>
      <c r="D686" s="2">
        <v>3998.89</v>
      </c>
      <c r="E686" s="2">
        <v>3923.03</v>
      </c>
      <c r="F686" t="s">
        <v>681</v>
      </c>
      <c r="G686" s="3">
        <f t="shared" si="40"/>
        <v>5.1983178364138237E-3</v>
      </c>
      <c r="H686">
        <f t="shared" si="41"/>
        <v>4036.3220000000001</v>
      </c>
      <c r="I686" s="3">
        <f t="shared" si="42"/>
        <v>9.5925177642671167E-3</v>
      </c>
      <c r="J686" s="5" t="str">
        <f t="shared" si="43"/>
        <v>高风险用户</v>
      </c>
    </row>
    <row r="687" spans="1:10" x14ac:dyDescent="0.3">
      <c r="A687" s="1">
        <v>45965</v>
      </c>
      <c r="B687" s="2">
        <v>3937.76</v>
      </c>
      <c r="C687" s="2">
        <v>3987.77</v>
      </c>
      <c r="D687" s="2">
        <v>3999.38</v>
      </c>
      <c r="E687" s="2">
        <v>3937.53</v>
      </c>
      <c r="F687" t="s">
        <v>242</v>
      </c>
      <c r="G687" s="3">
        <f t="shared" si="40"/>
        <v>-1.5286742070924595E-2</v>
      </c>
      <c r="H687">
        <f t="shared" si="41"/>
        <v>4041.2419999999997</v>
      </c>
      <c r="I687" s="3">
        <f t="shared" si="42"/>
        <v>9.6393290300442955E-3</v>
      </c>
      <c r="J687" s="5" t="str">
        <f t="shared" si="43"/>
        <v>高风险用户</v>
      </c>
    </row>
    <row r="688" spans="1:10" x14ac:dyDescent="0.3">
      <c r="A688" s="1">
        <v>45966</v>
      </c>
      <c r="B688" s="2">
        <v>3990.66</v>
      </c>
      <c r="C688" s="2">
        <v>4005.78</v>
      </c>
      <c r="D688" s="2">
        <v>4018.06</v>
      </c>
      <c r="E688" s="2">
        <v>3988.48</v>
      </c>
      <c r="F688" t="s">
        <v>682</v>
      </c>
      <c r="G688" s="3">
        <f t="shared" si="40"/>
        <v>1.3434033562228179E-2</v>
      </c>
      <c r="H688">
        <f t="shared" si="41"/>
        <v>4049.3614999999991</v>
      </c>
      <c r="I688" s="3">
        <f t="shared" si="42"/>
        <v>8.8232731295861868E-3</v>
      </c>
      <c r="J688" s="5" t="str">
        <f t="shared" si="43"/>
        <v>低风险用户</v>
      </c>
    </row>
    <row r="689" spans="1:10" x14ac:dyDescent="0.3">
      <c r="A689" s="1">
        <v>45967</v>
      </c>
      <c r="B689" s="2">
        <v>3996.87</v>
      </c>
      <c r="C689" s="2">
        <v>4017.94</v>
      </c>
      <c r="D689" s="2">
        <v>4019.06</v>
      </c>
      <c r="E689" s="2">
        <v>3984.63</v>
      </c>
      <c r="F689" t="s">
        <v>683</v>
      </c>
      <c r="G689" s="3">
        <f t="shared" si="40"/>
        <v>1.5561335718903731E-3</v>
      </c>
      <c r="H689">
        <f t="shared" si="41"/>
        <v>4055.0689999999995</v>
      </c>
      <c r="I689" s="3">
        <f t="shared" si="42"/>
        <v>8.4075904516822848E-3</v>
      </c>
      <c r="J689" s="5" t="str">
        <f t="shared" si="43"/>
        <v>低风险用户</v>
      </c>
    </row>
    <row r="690" spans="1:10" x14ac:dyDescent="0.3">
      <c r="A690" s="1">
        <v>45968</v>
      </c>
      <c r="B690" s="2">
        <v>4027.88</v>
      </c>
      <c r="C690" s="2">
        <v>4065.44</v>
      </c>
      <c r="D690" s="2">
        <v>4092.85</v>
      </c>
      <c r="E690" s="2">
        <v>4026.39</v>
      </c>
      <c r="F690" t="s">
        <v>684</v>
      </c>
      <c r="G690" s="3">
        <f t="shared" si="40"/>
        <v>7.7585710818716194E-3</v>
      </c>
      <c r="H690">
        <f t="shared" si="41"/>
        <v>4061.3894999999989</v>
      </c>
      <c r="I690" s="3">
        <f t="shared" si="42"/>
        <v>8.4353611148854542E-3</v>
      </c>
      <c r="J690" s="5" t="str">
        <f t="shared" si="43"/>
        <v>低风险用户</v>
      </c>
    </row>
    <row r="691" spans="1:10" x14ac:dyDescent="0.3">
      <c r="A691" s="1">
        <v>45971</v>
      </c>
      <c r="B691" s="2">
        <v>4062.66</v>
      </c>
      <c r="C691" s="2">
        <v>4028.11</v>
      </c>
      <c r="D691" s="2">
        <v>4070.77</v>
      </c>
      <c r="E691" s="2">
        <v>4018.96</v>
      </c>
      <c r="F691" t="s">
        <v>685</v>
      </c>
      <c r="G691" s="3">
        <f t="shared" si="40"/>
        <v>8.6348153371003464E-3</v>
      </c>
      <c r="H691">
        <f t="shared" si="41"/>
        <v>4064.8275000000003</v>
      </c>
      <c r="I691" s="3">
        <f t="shared" si="42"/>
        <v>8.4873240216817927E-3</v>
      </c>
      <c r="J691" s="5" t="str">
        <f t="shared" si="43"/>
        <v>低风险用户</v>
      </c>
    </row>
    <row r="692" spans="1:10" x14ac:dyDescent="0.3">
      <c r="A692" s="1">
        <v>45972</v>
      </c>
      <c r="B692" s="2">
        <v>4016.88</v>
      </c>
      <c r="C692" s="2">
        <v>4031.09</v>
      </c>
      <c r="D692" s="2">
        <v>4047.6</v>
      </c>
      <c r="E692" s="2">
        <v>3998.39</v>
      </c>
      <c r="F692" t="s">
        <v>686</v>
      </c>
      <c r="G692" s="3">
        <f t="shared" si="40"/>
        <v>-1.1268479272200909E-2</v>
      </c>
      <c r="H692">
        <f t="shared" si="41"/>
        <v>4066.8495000000003</v>
      </c>
      <c r="I692" s="3">
        <f t="shared" si="42"/>
        <v>8.2924461360560798E-3</v>
      </c>
      <c r="J692" s="5" t="str">
        <f t="shared" si="43"/>
        <v>低风险用户</v>
      </c>
    </row>
    <row r="693" spans="1:10" x14ac:dyDescent="0.3">
      <c r="A693" s="1">
        <v>45973</v>
      </c>
      <c r="B693" s="2">
        <v>4030.25</v>
      </c>
      <c r="C693" s="2">
        <v>4013.47</v>
      </c>
      <c r="D693" s="2">
        <v>4035.78</v>
      </c>
      <c r="E693" s="2">
        <v>4001.13</v>
      </c>
      <c r="F693" t="s">
        <v>687</v>
      </c>
      <c r="G693" s="3">
        <f t="shared" si="40"/>
        <v>3.3284539244388409E-3</v>
      </c>
      <c r="H693">
        <f t="shared" si="41"/>
        <v>4070.5340000000006</v>
      </c>
      <c r="I693" s="3">
        <f t="shared" si="42"/>
        <v>7.8700882131682338E-3</v>
      </c>
      <c r="J693" s="5" t="str">
        <f t="shared" si="43"/>
        <v>低风险用户</v>
      </c>
    </row>
    <row r="694" spans="1:10" x14ac:dyDescent="0.3">
      <c r="A694" s="1">
        <v>45974</v>
      </c>
      <c r="B694" s="2">
        <v>4029.09</v>
      </c>
      <c r="C694" s="2">
        <v>3993.26</v>
      </c>
      <c r="D694" s="2">
        <v>4030.45</v>
      </c>
      <c r="E694" s="2">
        <v>3993.26</v>
      </c>
      <c r="F694" t="s">
        <v>688</v>
      </c>
      <c r="G694" s="3">
        <f t="shared" si="40"/>
        <v>-2.8782333602130251E-4</v>
      </c>
      <c r="H694">
        <f t="shared" si="41"/>
        <v>4071.5680000000007</v>
      </c>
      <c r="I694" s="3">
        <f t="shared" si="42"/>
        <v>8.1937821982393695E-3</v>
      </c>
      <c r="J694" s="5" t="str">
        <f t="shared" si="43"/>
        <v>低风险用户</v>
      </c>
    </row>
    <row r="695" spans="1:10" x14ac:dyDescent="0.3">
      <c r="A695" s="1">
        <v>45975</v>
      </c>
      <c r="B695" s="2">
        <v>3988.42</v>
      </c>
      <c r="C695" s="2">
        <v>3948.03</v>
      </c>
      <c r="D695" s="2">
        <v>3999.13</v>
      </c>
      <c r="E695" s="2">
        <v>3942.82</v>
      </c>
      <c r="F695" t="s">
        <v>689</v>
      </c>
      <c r="G695" s="3">
        <f t="shared" si="40"/>
        <v>-1.0094090725200993E-2</v>
      </c>
      <c r="H695">
        <f t="shared" si="41"/>
        <v>4072.04</v>
      </c>
      <c r="I695" s="3">
        <f t="shared" si="42"/>
        <v>8.2274307170565192E-3</v>
      </c>
      <c r="J695" s="5" t="str">
        <f t="shared" si="43"/>
        <v>低风险用户</v>
      </c>
    </row>
    <row r="696" spans="1:10" x14ac:dyDescent="0.3">
      <c r="A696" s="1">
        <v>45978</v>
      </c>
      <c r="B696" s="2">
        <v>3959.23</v>
      </c>
      <c r="C696" s="2">
        <v>3950.26</v>
      </c>
      <c r="D696" s="2">
        <v>3975.66</v>
      </c>
      <c r="E696" s="2">
        <v>3934.66</v>
      </c>
      <c r="F696" t="s">
        <v>690</v>
      </c>
      <c r="G696" s="3">
        <f t="shared" si="40"/>
        <v>-7.3186876006037611E-3</v>
      </c>
      <c r="H696">
        <f t="shared" si="41"/>
        <v>4072.9259999999995</v>
      </c>
      <c r="I696" s="3">
        <f t="shared" si="42"/>
        <v>8.1036768103260378E-3</v>
      </c>
      <c r="J696" s="5" t="str">
        <f t="shared" si="43"/>
        <v>低风险用户</v>
      </c>
    </row>
    <row r="697" spans="1:10" x14ac:dyDescent="0.3">
      <c r="A697" s="1">
        <v>45979</v>
      </c>
      <c r="B697" s="2">
        <v>3962.67</v>
      </c>
      <c r="C697" s="2">
        <v>3985.11</v>
      </c>
      <c r="D697" s="2">
        <v>3991.69</v>
      </c>
      <c r="E697" s="2">
        <v>3925.44</v>
      </c>
      <c r="F697" t="s">
        <v>691</v>
      </c>
      <c r="G697" s="3">
        <f t="shared" si="40"/>
        <v>8.6885581287271887E-4</v>
      </c>
      <c r="H697">
        <f t="shared" si="41"/>
        <v>4074.9399999999996</v>
      </c>
      <c r="I697" s="3">
        <f t="shared" si="42"/>
        <v>7.9220893503325219E-3</v>
      </c>
      <c r="J697" s="5" t="str">
        <f t="shared" si="43"/>
        <v>低风险用户</v>
      </c>
    </row>
    <row r="698" spans="1:10" x14ac:dyDescent="0.3">
      <c r="A698" s="1">
        <v>45980</v>
      </c>
      <c r="B698" s="2">
        <v>3982.64</v>
      </c>
      <c r="C698" s="2">
        <v>4031.3</v>
      </c>
      <c r="D698" s="2">
        <v>4033.64</v>
      </c>
      <c r="E698" s="2">
        <v>3967.91</v>
      </c>
      <c r="F698" t="s">
        <v>692</v>
      </c>
      <c r="G698" s="3">
        <f t="shared" si="40"/>
        <v>5.0395314270428272E-3</v>
      </c>
      <c r="H698">
        <f t="shared" si="41"/>
        <v>4077.4304999999995</v>
      </c>
      <c r="I698" s="3">
        <f t="shared" si="42"/>
        <v>7.9450924051189531E-3</v>
      </c>
      <c r="J698" s="5" t="str">
        <f t="shared" si="43"/>
        <v>低风险用户</v>
      </c>
    </row>
    <row r="699" spans="1:10" x14ac:dyDescent="0.3">
      <c r="A699" s="1">
        <v>45981</v>
      </c>
      <c r="B699" s="2">
        <v>4032.57</v>
      </c>
      <c r="C699" s="2">
        <v>4114.26</v>
      </c>
      <c r="D699" s="2">
        <v>4114.26</v>
      </c>
      <c r="E699" s="2">
        <v>4031.91</v>
      </c>
      <c r="F699" t="s">
        <v>693</v>
      </c>
      <c r="G699" s="3">
        <f t="shared" si="40"/>
        <v>1.2536910190225653E-2</v>
      </c>
      <c r="H699">
        <f t="shared" si="41"/>
        <v>4079.6509999999994</v>
      </c>
      <c r="I699" s="3">
        <f t="shared" si="42"/>
        <v>7.9103487440276236E-3</v>
      </c>
      <c r="J699" s="5" t="str">
        <f t="shared" si="43"/>
        <v>低风险用户</v>
      </c>
    </row>
    <row r="700" spans="1:10" x14ac:dyDescent="0.3">
      <c r="A700" s="1">
        <v>45982</v>
      </c>
      <c r="B700" s="2">
        <v>4113.0200000000004</v>
      </c>
      <c r="C700" s="2">
        <v>4122.95</v>
      </c>
      <c r="D700" s="2">
        <v>4125.82</v>
      </c>
      <c r="E700" s="2">
        <v>4094</v>
      </c>
      <c r="F700" t="s">
        <v>494</v>
      </c>
      <c r="G700" s="3">
        <f t="shared" si="40"/>
        <v>1.9950056663616569E-2</v>
      </c>
      <c r="H700">
        <f t="shared" si="41"/>
        <v>4079.9769999999999</v>
      </c>
      <c r="I700" s="3">
        <f t="shared" si="42"/>
        <v>7.4242198038405299E-3</v>
      </c>
      <c r="J700" s="5" t="str">
        <f t="shared" si="43"/>
        <v>低风险用户</v>
      </c>
    </row>
    <row r="701" spans="1:10" x14ac:dyDescent="0.3">
      <c r="A701" s="1">
        <v>45985</v>
      </c>
      <c r="B701" s="2">
        <v>4124.5600000000004</v>
      </c>
      <c r="C701" s="2">
        <v>4159.3900000000003</v>
      </c>
      <c r="D701" s="2">
        <v>4159.3900000000003</v>
      </c>
      <c r="E701" s="2">
        <v>4118.63</v>
      </c>
      <c r="F701" t="s">
        <v>694</v>
      </c>
      <c r="G701" s="3">
        <f t="shared" si="40"/>
        <v>2.8057242610052863E-3</v>
      </c>
      <c r="H701">
        <f t="shared" si="41"/>
        <v>4074.2979999999998</v>
      </c>
      <c r="I701" s="3">
        <f t="shared" si="42"/>
        <v>6.1029882535888732E-3</v>
      </c>
      <c r="J701" s="5" t="str">
        <f t="shared" si="43"/>
        <v>低风险用户</v>
      </c>
    </row>
    <row r="702" spans="1:10" x14ac:dyDescent="0.3">
      <c r="A702" s="1">
        <v>45986</v>
      </c>
      <c r="B702" s="2">
        <v>4162.03</v>
      </c>
      <c r="C702" s="2">
        <v>4139.3100000000004</v>
      </c>
      <c r="D702" s="2">
        <v>4169.67</v>
      </c>
      <c r="E702" s="2">
        <v>4138.46</v>
      </c>
      <c r="F702" t="s">
        <v>695</v>
      </c>
      <c r="G702" s="3">
        <f t="shared" si="40"/>
        <v>9.0846053882109468E-3</v>
      </c>
      <c r="H702">
        <f t="shared" si="41"/>
        <v>4067.1890000000008</v>
      </c>
      <c r="I702" s="3">
        <f t="shared" si="42"/>
        <v>6.0522664501878173E-3</v>
      </c>
      <c r="J702" s="5" t="str">
        <f t="shared" si="43"/>
        <v>低风险用户</v>
      </c>
    </row>
    <row r="703" spans="1:10" x14ac:dyDescent="0.3">
      <c r="A703" s="1">
        <v>45987</v>
      </c>
      <c r="B703" s="2">
        <v>4149.38</v>
      </c>
      <c r="C703" s="2">
        <v>4090.07</v>
      </c>
      <c r="D703" s="2">
        <v>4149.38</v>
      </c>
      <c r="E703" s="2">
        <v>4089.51</v>
      </c>
      <c r="F703" t="s">
        <v>696</v>
      </c>
      <c r="G703" s="3">
        <f t="shared" si="40"/>
        <v>-3.0393822245393803E-3</v>
      </c>
      <c r="H703">
        <f t="shared" si="41"/>
        <v>4056.0415000000007</v>
      </c>
      <c r="I703" s="3">
        <f t="shared" si="42"/>
        <v>5.8150915238450529E-3</v>
      </c>
      <c r="J703" s="5" t="str">
        <f t="shared" si="43"/>
        <v>低风险用户</v>
      </c>
    </row>
    <row r="704" spans="1:10" x14ac:dyDescent="0.3">
      <c r="A704" s="1">
        <v>45988</v>
      </c>
      <c r="B704" s="2">
        <v>4092</v>
      </c>
      <c r="C704" s="2">
        <v>4078.97</v>
      </c>
      <c r="D704" s="2">
        <v>4098.22</v>
      </c>
      <c r="E704" s="2">
        <v>4075.2</v>
      </c>
      <c r="F704" t="s">
        <v>697</v>
      </c>
      <c r="G704" s="3">
        <f t="shared" si="40"/>
        <v>-1.3828571979428278E-2</v>
      </c>
      <c r="H704">
        <f t="shared" si="41"/>
        <v>4046.5135000000009</v>
      </c>
      <c r="I704" s="3">
        <f t="shared" si="42"/>
        <v>6.0659905591578705E-3</v>
      </c>
      <c r="J704" s="5" t="str">
        <f t="shared" si="43"/>
        <v>低风险用户</v>
      </c>
    </row>
    <row r="705" spans="1:10" x14ac:dyDescent="0.3">
      <c r="A705" s="1">
        <v>45989</v>
      </c>
      <c r="B705" s="2">
        <v>4068.98</v>
      </c>
      <c r="C705" s="2">
        <v>4081.39</v>
      </c>
      <c r="D705" s="2">
        <v>4088.88</v>
      </c>
      <c r="E705" s="2">
        <v>4059.57</v>
      </c>
      <c r="F705" t="s">
        <v>698</v>
      </c>
      <c r="G705" s="3">
        <f t="shared" si="40"/>
        <v>-5.6256109481915891E-3</v>
      </c>
      <c r="H705">
        <f t="shared" si="41"/>
        <v>4038.8710000000005</v>
      </c>
      <c r="I705" s="3">
        <f t="shared" si="42"/>
        <v>5.4770102045905754E-3</v>
      </c>
      <c r="J705" s="5" t="str">
        <f t="shared" si="43"/>
        <v>低风险用户</v>
      </c>
    </row>
    <row r="706" spans="1:10" x14ac:dyDescent="0.3">
      <c r="A706" s="1">
        <v>45992</v>
      </c>
      <c r="B706" s="2">
        <v>4097.29</v>
      </c>
      <c r="C706" s="2">
        <v>4102.3999999999996</v>
      </c>
      <c r="D706" s="2">
        <v>4108.25</v>
      </c>
      <c r="E706" s="2">
        <v>4090.28</v>
      </c>
      <c r="F706" t="s">
        <v>699</v>
      </c>
      <c r="G706" s="3">
        <f t="shared" si="40"/>
        <v>6.9575176088356163E-3</v>
      </c>
      <c r="H706">
        <f t="shared" si="41"/>
        <v>4034.7669999999998</v>
      </c>
      <c r="I706" s="3">
        <f t="shared" si="42"/>
        <v>6.2259691672661875E-3</v>
      </c>
      <c r="J706" s="5" t="str">
        <f t="shared" si="43"/>
        <v>低风险用户</v>
      </c>
    </row>
    <row r="707" spans="1:10" x14ac:dyDescent="0.3">
      <c r="A707" s="1">
        <v>45993</v>
      </c>
      <c r="B707" s="2">
        <v>4100.1499999999996</v>
      </c>
      <c r="C707" s="2">
        <v>4108.51</v>
      </c>
      <c r="D707" s="2">
        <v>4116.12</v>
      </c>
      <c r="E707" s="2">
        <v>4083.49</v>
      </c>
      <c r="F707" t="s">
        <v>700</v>
      </c>
      <c r="G707" s="3">
        <f t="shared" ref="G707:G770" si="44">IFERROR((B707-B706)/B706,"")</f>
        <v>6.9802235135898918E-4</v>
      </c>
      <c r="H707">
        <f t="shared" ref="H707:H770" si="45">AVERAGE(B707:B726)</f>
        <v>4029.1374999999994</v>
      </c>
      <c r="I707" s="3">
        <f t="shared" ref="I707:I770" si="46">IFERROR(STDEV(G707:G726),"")</f>
        <v>5.9407194212025777E-3</v>
      </c>
      <c r="J707" s="5" t="str">
        <f t="shared" ref="J707:J770" si="47">IF(ROW()&lt;22,"未知",IF(I707&gt;AVERAGE(I:I),"高风险用户","低风险用户"))</f>
        <v>低风险用户</v>
      </c>
    </row>
    <row r="708" spans="1:10" x14ac:dyDescent="0.3">
      <c r="A708" s="1">
        <v>45994</v>
      </c>
      <c r="B708" s="2">
        <v>4104.8100000000004</v>
      </c>
      <c r="C708" s="2">
        <v>4132.01</v>
      </c>
      <c r="D708" s="2">
        <v>4132.3</v>
      </c>
      <c r="E708" s="2">
        <v>4099.05</v>
      </c>
      <c r="F708" t="s">
        <v>701</v>
      </c>
      <c r="G708" s="3">
        <f t="shared" si="44"/>
        <v>1.1365437849836625E-3</v>
      </c>
      <c r="H708">
        <f t="shared" si="45"/>
        <v>4024.5644999999995</v>
      </c>
      <c r="I708" s="3">
        <f t="shared" si="46"/>
        <v>6.1538839911006327E-3</v>
      </c>
      <c r="J708" s="5" t="str">
        <f t="shared" si="47"/>
        <v>低风险用户</v>
      </c>
    </row>
    <row r="709" spans="1:10" x14ac:dyDescent="0.3">
      <c r="A709" s="1">
        <v>45995</v>
      </c>
      <c r="B709" s="2">
        <v>4123.28</v>
      </c>
      <c r="C709" s="2">
        <v>4096.8999999999996</v>
      </c>
      <c r="D709" s="2">
        <v>4131.3100000000004</v>
      </c>
      <c r="E709" s="2">
        <v>4092.18</v>
      </c>
      <c r="F709" t="s">
        <v>702</v>
      </c>
      <c r="G709" s="3">
        <f t="shared" si="44"/>
        <v>4.4995992506350708E-3</v>
      </c>
      <c r="H709">
        <f t="shared" si="45"/>
        <v>4017.6810000000005</v>
      </c>
      <c r="I709" s="3">
        <f t="shared" si="46"/>
        <v>6.4626239593749933E-3</v>
      </c>
      <c r="J709" s="5" t="str">
        <f t="shared" si="47"/>
        <v>低风险用户</v>
      </c>
    </row>
    <row r="710" spans="1:10" x14ac:dyDescent="0.3">
      <c r="A710" s="1">
        <v>45996</v>
      </c>
      <c r="B710" s="2">
        <v>4096.6400000000003</v>
      </c>
      <c r="C710" s="2">
        <v>4084.13</v>
      </c>
      <c r="D710" s="2">
        <v>4098.83</v>
      </c>
      <c r="E710" s="2">
        <v>4078.4</v>
      </c>
      <c r="F710" t="s">
        <v>697</v>
      </c>
      <c r="G710" s="3">
        <f t="shared" si="44"/>
        <v>-6.4608758076093349E-3</v>
      </c>
      <c r="H710">
        <f t="shared" si="45"/>
        <v>4012.5095000000001</v>
      </c>
      <c r="I710" s="3">
        <f t="shared" si="46"/>
        <v>7.1656138680284637E-3</v>
      </c>
      <c r="J710" s="5" t="str">
        <f t="shared" si="47"/>
        <v>低风险用户</v>
      </c>
    </row>
    <row r="711" spans="1:10" x14ac:dyDescent="0.3">
      <c r="A711" s="1">
        <v>45999</v>
      </c>
      <c r="B711" s="2">
        <v>4103.1000000000004</v>
      </c>
      <c r="C711" s="2">
        <v>4089.29</v>
      </c>
      <c r="D711" s="2">
        <v>4103.16</v>
      </c>
      <c r="E711" s="2">
        <v>4080.07</v>
      </c>
      <c r="F711" t="s">
        <v>703</v>
      </c>
      <c r="G711" s="3">
        <f t="shared" si="44"/>
        <v>1.5769020465552345E-3</v>
      </c>
      <c r="H711">
        <f t="shared" si="45"/>
        <v>4009.3830000000003</v>
      </c>
      <c r="I711" s="3">
        <f t="shared" si="46"/>
        <v>7.1315779049564796E-3</v>
      </c>
      <c r="J711" s="5" t="str">
        <f t="shared" si="47"/>
        <v>低风险用户</v>
      </c>
    </row>
    <row r="712" spans="1:10" x14ac:dyDescent="0.3">
      <c r="A712" s="1">
        <v>46000</v>
      </c>
      <c r="B712" s="2">
        <v>4090.57</v>
      </c>
      <c r="C712" s="2">
        <v>4059.62</v>
      </c>
      <c r="D712" s="2">
        <v>4094.94</v>
      </c>
      <c r="E712" s="2">
        <v>4059.06</v>
      </c>
      <c r="F712" t="s">
        <v>704</v>
      </c>
      <c r="G712" s="3">
        <f t="shared" si="44"/>
        <v>-3.0537885988643218E-3</v>
      </c>
      <c r="H712">
        <f t="shared" si="45"/>
        <v>4006.6705000000011</v>
      </c>
      <c r="I712" s="3">
        <f t="shared" si="46"/>
        <v>7.1821050053601223E-3</v>
      </c>
      <c r="J712" s="5" t="str">
        <f t="shared" si="47"/>
        <v>低风险用户</v>
      </c>
    </row>
    <row r="713" spans="1:10" x14ac:dyDescent="0.3">
      <c r="A713" s="1">
        <v>46001</v>
      </c>
      <c r="B713" s="2">
        <v>4050.93</v>
      </c>
      <c r="C713" s="2">
        <v>4045.45</v>
      </c>
      <c r="D713" s="2">
        <v>4063.57</v>
      </c>
      <c r="E713" s="2">
        <v>4039.96</v>
      </c>
      <c r="F713" t="s">
        <v>705</v>
      </c>
      <c r="G713" s="3">
        <f t="shared" si="44"/>
        <v>-9.6905810192712324E-3</v>
      </c>
      <c r="H713">
        <f t="shared" si="45"/>
        <v>4007.5925000000002</v>
      </c>
      <c r="I713" s="3">
        <f t="shared" si="46"/>
        <v>7.9420061277015869E-3</v>
      </c>
      <c r="J713" s="5" t="str">
        <f t="shared" si="47"/>
        <v>低风险用户</v>
      </c>
    </row>
    <row r="714" spans="1:10" x14ac:dyDescent="0.3">
      <c r="A714" s="1">
        <v>46002</v>
      </c>
      <c r="B714" s="2">
        <v>4038.53</v>
      </c>
      <c r="C714" s="2">
        <v>4009.56</v>
      </c>
      <c r="D714" s="2">
        <v>4040.5</v>
      </c>
      <c r="E714" s="2">
        <v>3983.9</v>
      </c>
      <c r="F714" t="s">
        <v>706</v>
      </c>
      <c r="G714" s="3">
        <f t="shared" si="44"/>
        <v>-3.0610254929114146E-3</v>
      </c>
      <c r="H714">
        <f t="shared" si="45"/>
        <v>4011.5735</v>
      </c>
      <c r="I714" s="3">
        <f t="shared" si="46"/>
        <v>7.654535383352582E-3</v>
      </c>
      <c r="J714" s="5" t="str">
        <f t="shared" si="47"/>
        <v>低风险用户</v>
      </c>
    </row>
    <row r="715" spans="1:10" x14ac:dyDescent="0.3">
      <c r="A715" s="1">
        <v>46003</v>
      </c>
      <c r="B715" s="2">
        <v>4006.14</v>
      </c>
      <c r="C715" s="2">
        <v>4013.59</v>
      </c>
      <c r="D715" s="2">
        <v>4017.76</v>
      </c>
      <c r="E715" s="2">
        <v>3992.67</v>
      </c>
      <c r="F715" t="s">
        <v>707</v>
      </c>
      <c r="G715" s="3">
        <f t="shared" si="44"/>
        <v>-8.0202449901326297E-3</v>
      </c>
      <c r="H715">
        <f t="shared" si="45"/>
        <v>4015.5340000000006</v>
      </c>
      <c r="I715" s="3">
        <f t="shared" si="46"/>
        <v>7.6556650834017177E-3</v>
      </c>
      <c r="J715" s="5" t="str">
        <f t="shared" si="47"/>
        <v>低风险用户</v>
      </c>
    </row>
    <row r="716" spans="1:10" x14ac:dyDescent="0.3">
      <c r="A716" s="1">
        <v>46006</v>
      </c>
      <c r="B716" s="2">
        <v>3999.51</v>
      </c>
      <c r="C716" s="2">
        <v>4015.7</v>
      </c>
      <c r="D716" s="2">
        <v>4023.78</v>
      </c>
      <c r="E716" s="2">
        <v>3994.6</v>
      </c>
      <c r="F716" t="s">
        <v>708</v>
      </c>
      <c r="G716" s="3">
        <f t="shared" si="44"/>
        <v>-1.6549596369571844E-3</v>
      </c>
      <c r="H716">
        <f t="shared" si="45"/>
        <v>4021.5740000000005</v>
      </c>
      <c r="I716" s="3">
        <f t="shared" si="46"/>
        <v>7.3573695242386081E-3</v>
      </c>
      <c r="J716" s="5" t="str">
        <f t="shared" si="47"/>
        <v>低风险用户</v>
      </c>
    </row>
    <row r="717" spans="1:10" x14ac:dyDescent="0.3">
      <c r="A717" s="1">
        <v>46007</v>
      </c>
      <c r="B717" s="2">
        <v>4012.48</v>
      </c>
      <c r="C717" s="2">
        <v>4023.3</v>
      </c>
      <c r="D717" s="2">
        <v>4023.3</v>
      </c>
      <c r="E717" s="2">
        <v>3987.03</v>
      </c>
      <c r="F717" t="s">
        <v>709</v>
      </c>
      <c r="G717" s="3">
        <f t="shared" si="44"/>
        <v>3.2428972549136768E-3</v>
      </c>
      <c r="H717">
        <f t="shared" si="45"/>
        <v>4025.0715000000009</v>
      </c>
      <c r="I717" s="3">
        <f t="shared" si="46"/>
        <v>8.1088768165136389E-3</v>
      </c>
      <c r="J717" s="5" t="str">
        <f t="shared" si="47"/>
        <v>低风险用户</v>
      </c>
    </row>
    <row r="718" spans="1:10" x14ac:dyDescent="0.3">
      <c r="A718" s="1">
        <v>46008</v>
      </c>
      <c r="B718" s="2">
        <v>4027.05</v>
      </c>
      <c r="C718" s="2">
        <v>4035.16</v>
      </c>
      <c r="D718" s="2">
        <v>4037.84</v>
      </c>
      <c r="E718" s="2">
        <v>4017</v>
      </c>
      <c r="F718" t="s">
        <v>710</v>
      </c>
      <c r="G718" s="3">
        <f t="shared" si="44"/>
        <v>3.631170747268563E-3</v>
      </c>
      <c r="H718">
        <f t="shared" si="45"/>
        <v>4026.6395000000002</v>
      </c>
      <c r="I718" s="3">
        <f t="shared" si="46"/>
        <v>8.2431315141692739E-3</v>
      </c>
      <c r="J718" s="5" t="str">
        <f t="shared" si="47"/>
        <v>低风险用户</v>
      </c>
    </row>
    <row r="719" spans="1:10" x14ac:dyDescent="0.3">
      <c r="A719" s="1">
        <v>46009</v>
      </c>
      <c r="B719" s="2">
        <v>4039.09</v>
      </c>
      <c r="C719" s="2">
        <v>3985.99</v>
      </c>
      <c r="D719" s="2">
        <v>4039.09</v>
      </c>
      <c r="E719" s="2">
        <v>3984</v>
      </c>
      <c r="F719" t="s">
        <v>711</v>
      </c>
      <c r="G719" s="3">
        <f t="shared" si="44"/>
        <v>2.989781601917027E-3</v>
      </c>
      <c r="H719">
        <f t="shared" si="45"/>
        <v>4028.3395000000005</v>
      </c>
      <c r="I719" s="3">
        <f t="shared" si="46"/>
        <v>8.2571047057434597E-3</v>
      </c>
      <c r="J719" s="5" t="str">
        <f t="shared" si="47"/>
        <v>低风险用户</v>
      </c>
    </row>
    <row r="720" spans="1:10" x14ac:dyDescent="0.3">
      <c r="A720" s="1">
        <v>46010</v>
      </c>
      <c r="B720" s="2">
        <v>3999.44</v>
      </c>
      <c r="C720" s="2">
        <v>3993.78</v>
      </c>
      <c r="D720" s="2">
        <v>4016.45</v>
      </c>
      <c r="E720" s="2">
        <v>3986.71</v>
      </c>
      <c r="F720" t="s">
        <v>712</v>
      </c>
      <c r="G720" s="3">
        <f t="shared" si="44"/>
        <v>-9.8165675931955187E-3</v>
      </c>
      <c r="H720">
        <f t="shared" si="45"/>
        <v>4031.5675000000001</v>
      </c>
      <c r="I720" s="3">
        <f t="shared" si="46"/>
        <v>8.5437256167468657E-3</v>
      </c>
      <c r="J720" s="5" t="str">
        <f t="shared" si="47"/>
        <v>低风险用户</v>
      </c>
    </row>
    <row r="721" spans="1:10" x14ac:dyDescent="0.3">
      <c r="A721" s="1">
        <v>46013</v>
      </c>
      <c r="B721" s="2">
        <v>3982.38</v>
      </c>
      <c r="C721" s="2">
        <v>3948.16</v>
      </c>
      <c r="D721" s="2">
        <v>3982.7</v>
      </c>
      <c r="E721" s="2">
        <v>3948.16</v>
      </c>
      <c r="F721" t="s">
        <v>713</v>
      </c>
      <c r="G721" s="3">
        <f t="shared" si="44"/>
        <v>-4.2655971836056909E-3</v>
      </c>
      <c r="H721">
        <f t="shared" si="45"/>
        <v>4036.9430000000002</v>
      </c>
      <c r="I721" s="3">
        <f t="shared" si="46"/>
        <v>8.169155058510038E-3</v>
      </c>
      <c r="J721" s="5" t="str">
        <f t="shared" si="47"/>
        <v>低风险用户</v>
      </c>
    </row>
    <row r="722" spans="1:10" x14ac:dyDescent="0.3">
      <c r="A722" s="1">
        <v>46014</v>
      </c>
      <c r="B722" s="2">
        <v>3939.08</v>
      </c>
      <c r="C722" s="2">
        <v>3962.66</v>
      </c>
      <c r="D722" s="2">
        <v>3979.55</v>
      </c>
      <c r="E722" s="2">
        <v>3935.02</v>
      </c>
      <c r="F722" t="s">
        <v>714</v>
      </c>
      <c r="G722" s="3">
        <f t="shared" si="44"/>
        <v>-1.0872895102928446E-2</v>
      </c>
      <c r="H722">
        <f t="shared" si="45"/>
        <v>4045.0415000000003</v>
      </c>
      <c r="I722" s="3">
        <f t="shared" si="46"/>
        <v>8.2315734890784191E-3</v>
      </c>
      <c r="J722" s="5" t="str">
        <f t="shared" si="47"/>
        <v>低风险用户</v>
      </c>
    </row>
    <row r="723" spans="1:10" x14ac:dyDescent="0.3">
      <c r="A723" s="1">
        <v>46015</v>
      </c>
      <c r="B723" s="2">
        <v>3958.82</v>
      </c>
      <c r="C723" s="2">
        <v>3971.16</v>
      </c>
      <c r="D723" s="2">
        <v>4004.22</v>
      </c>
      <c r="E723" s="2">
        <v>3945.25</v>
      </c>
      <c r="F723" t="s">
        <v>715</v>
      </c>
      <c r="G723" s="3">
        <f t="shared" si="44"/>
        <v>5.0113224407730321E-3</v>
      </c>
      <c r="H723">
        <f t="shared" si="45"/>
        <v>4054.7620000000002</v>
      </c>
      <c r="I723" s="3">
        <f t="shared" si="46"/>
        <v>7.743232836577494E-3</v>
      </c>
      <c r="J723" s="5" t="str">
        <f t="shared" si="47"/>
        <v>低风险用户</v>
      </c>
    </row>
    <row r="724" spans="1:10" x14ac:dyDescent="0.3">
      <c r="A724" s="1">
        <v>46016</v>
      </c>
      <c r="B724" s="2">
        <v>3939.15</v>
      </c>
      <c r="C724" s="2">
        <v>3958.2</v>
      </c>
      <c r="D724" s="2">
        <v>3981.32</v>
      </c>
      <c r="E724" s="2">
        <v>3936.48</v>
      </c>
      <c r="F724" t="s">
        <v>716</v>
      </c>
      <c r="G724" s="3">
        <f t="shared" si="44"/>
        <v>-4.9686522751729231E-3</v>
      </c>
      <c r="H724">
        <f t="shared" si="45"/>
        <v>4058.5465000000013</v>
      </c>
      <c r="I724" s="3">
        <f t="shared" si="46"/>
        <v>9.6977425655225408E-3</v>
      </c>
      <c r="J724" s="5" t="str">
        <f t="shared" si="47"/>
        <v>高风险用户</v>
      </c>
    </row>
    <row r="725" spans="1:10" x14ac:dyDescent="0.3">
      <c r="A725" s="1">
        <v>46017</v>
      </c>
      <c r="B725" s="2">
        <v>3986.9</v>
      </c>
      <c r="C725" s="2">
        <v>4011.84</v>
      </c>
      <c r="D725" s="2">
        <v>4018.75</v>
      </c>
      <c r="E725" s="2">
        <v>3986.9</v>
      </c>
      <c r="F725" t="s">
        <v>717</v>
      </c>
      <c r="G725" s="3">
        <f t="shared" si="44"/>
        <v>1.2121904471776905E-2</v>
      </c>
      <c r="H725">
        <f t="shared" si="45"/>
        <v>4066.2635</v>
      </c>
      <c r="I725" s="3">
        <f t="shared" si="46"/>
        <v>1.0046856210200301E-2</v>
      </c>
      <c r="J725" s="5" t="str">
        <f t="shared" si="47"/>
        <v>高风险用户</v>
      </c>
    </row>
    <row r="726" spans="1:10" x14ac:dyDescent="0.3">
      <c r="A726" s="1">
        <v>46020</v>
      </c>
      <c r="B726" s="2">
        <v>3984.7</v>
      </c>
      <c r="C726" s="2">
        <v>3999.88</v>
      </c>
      <c r="D726" s="2">
        <v>4001.94</v>
      </c>
      <c r="E726" s="2">
        <v>3946.94</v>
      </c>
      <c r="F726" t="s">
        <v>718</v>
      </c>
      <c r="G726" s="3">
        <f t="shared" si="44"/>
        <v>-5.5180716847682979E-4</v>
      </c>
      <c r="H726">
        <f t="shared" si="45"/>
        <v>4073.1030000000005</v>
      </c>
      <c r="I726" s="3">
        <f t="shared" si="46"/>
        <v>9.8486378456011485E-3</v>
      </c>
      <c r="J726" s="5" t="str">
        <f t="shared" si="47"/>
        <v>高风险用户</v>
      </c>
    </row>
    <row r="727" spans="1:10" x14ac:dyDescent="0.3">
      <c r="A727" s="1">
        <v>46021</v>
      </c>
      <c r="B727" s="2">
        <v>4008.69</v>
      </c>
      <c r="C727" s="2">
        <v>3962.64</v>
      </c>
      <c r="D727" s="2">
        <v>4008.69</v>
      </c>
      <c r="E727" s="2">
        <v>3962.64</v>
      </c>
      <c r="F727" t="s">
        <v>719</v>
      </c>
      <c r="G727" s="3">
        <f t="shared" si="44"/>
        <v>6.020528521595161E-3</v>
      </c>
      <c r="H727">
        <f t="shared" si="45"/>
        <v>4081.1325000000006</v>
      </c>
      <c r="I727" s="3">
        <f t="shared" si="46"/>
        <v>9.8629827303699808E-3</v>
      </c>
      <c r="J727" s="5" t="str">
        <f t="shared" si="47"/>
        <v>高风险用户</v>
      </c>
    </row>
    <row r="728" spans="1:10" x14ac:dyDescent="0.3">
      <c r="A728" s="1">
        <v>46022</v>
      </c>
      <c r="B728" s="2">
        <v>3967.14</v>
      </c>
      <c r="C728" s="2">
        <v>3991.8</v>
      </c>
      <c r="D728" s="2">
        <v>4004.36</v>
      </c>
      <c r="E728" s="2">
        <v>3966.43</v>
      </c>
      <c r="F728" t="s">
        <v>720</v>
      </c>
      <c r="G728" s="3">
        <f t="shared" si="44"/>
        <v>-1.0364982076438982E-2</v>
      </c>
      <c r="H728">
        <f t="shared" si="45"/>
        <v>4087.8764999999999</v>
      </c>
      <c r="I728" s="3">
        <f t="shared" si="46"/>
        <v>9.8306562019177552E-3</v>
      </c>
      <c r="J728" s="5" t="str">
        <f t="shared" si="47"/>
        <v>高风险用户</v>
      </c>
    </row>
    <row r="729" spans="1:10" x14ac:dyDescent="0.3">
      <c r="A729" s="1">
        <v>46027</v>
      </c>
      <c r="B729" s="2">
        <v>4019.85</v>
      </c>
      <c r="C729" s="2">
        <v>4035.84</v>
      </c>
      <c r="D729" s="2">
        <v>4043.85</v>
      </c>
      <c r="E729" s="2">
        <v>4000.89</v>
      </c>
      <c r="F729" t="s">
        <v>721</v>
      </c>
      <c r="G729" s="3">
        <f t="shared" si="44"/>
        <v>1.3286649828339821E-2</v>
      </c>
      <c r="H729">
        <f t="shared" si="45"/>
        <v>4094.8349999999991</v>
      </c>
      <c r="I729" s="3">
        <f t="shared" si="46"/>
        <v>9.746401480071441E-3</v>
      </c>
      <c r="J729" s="5" t="str">
        <f t="shared" si="47"/>
        <v>高风险用户</v>
      </c>
    </row>
    <row r="730" spans="1:10" x14ac:dyDescent="0.3">
      <c r="A730" s="1">
        <v>46028</v>
      </c>
      <c r="B730" s="2">
        <v>4034.11</v>
      </c>
      <c r="C730" s="2">
        <v>4030.74</v>
      </c>
      <c r="D730" s="2">
        <v>4037.29</v>
      </c>
      <c r="E730" s="2">
        <v>4011.52</v>
      </c>
      <c r="F730" t="s">
        <v>722</v>
      </c>
      <c r="G730" s="3">
        <f t="shared" si="44"/>
        <v>3.5473960471162401E-3</v>
      </c>
      <c r="H730">
        <f t="shared" si="45"/>
        <v>4100.3855000000003</v>
      </c>
      <c r="I730" s="3">
        <f t="shared" si="46"/>
        <v>9.4235829627615439E-3</v>
      </c>
      <c r="J730" s="5" t="str">
        <f t="shared" si="47"/>
        <v>低风险用户</v>
      </c>
    </row>
    <row r="731" spans="1:10" x14ac:dyDescent="0.3">
      <c r="A731" s="1">
        <v>46029</v>
      </c>
      <c r="B731" s="2">
        <v>4048.85</v>
      </c>
      <c r="C731" s="2">
        <v>4103.6400000000003</v>
      </c>
      <c r="D731" s="2">
        <v>4124.96</v>
      </c>
      <c r="E731" s="2">
        <v>4046.57</v>
      </c>
      <c r="F731" t="s">
        <v>723</v>
      </c>
      <c r="G731" s="3">
        <f t="shared" si="44"/>
        <v>3.6538418635088735E-3</v>
      </c>
      <c r="H731">
        <f t="shared" si="45"/>
        <v>4102.4869999999992</v>
      </c>
      <c r="I731" s="3">
        <f t="shared" si="46"/>
        <v>9.9558635164745408E-3</v>
      </c>
      <c r="J731" s="5" t="str">
        <f t="shared" si="47"/>
        <v>高风险用户</v>
      </c>
    </row>
    <row r="732" spans="1:10" x14ac:dyDescent="0.3">
      <c r="A732" s="1">
        <v>46030</v>
      </c>
      <c r="B732" s="2">
        <v>4109.01</v>
      </c>
      <c r="C732" s="2">
        <v>4131.1499999999996</v>
      </c>
      <c r="D732" s="2">
        <v>4132.84</v>
      </c>
      <c r="E732" s="2">
        <v>4088.45</v>
      </c>
      <c r="F732" t="s">
        <v>724</v>
      </c>
      <c r="G732" s="3">
        <f t="shared" si="44"/>
        <v>1.4858540079281848E-2</v>
      </c>
      <c r="H732">
        <f t="shared" si="45"/>
        <v>4104.7559999999994</v>
      </c>
      <c r="I732" s="3">
        <f t="shared" si="46"/>
        <v>9.9701996083402262E-3</v>
      </c>
      <c r="J732" s="5" t="str">
        <f t="shared" si="47"/>
        <v>高风险用户</v>
      </c>
    </row>
    <row r="733" spans="1:10" x14ac:dyDescent="0.3">
      <c r="A733" s="1">
        <v>46031</v>
      </c>
      <c r="B733" s="2">
        <v>4130.55</v>
      </c>
      <c r="C733" s="2">
        <v>4126.0200000000004</v>
      </c>
      <c r="D733" s="2">
        <v>4135.21</v>
      </c>
      <c r="E733" s="2">
        <v>4100.38</v>
      </c>
      <c r="F733" t="s">
        <v>725</v>
      </c>
      <c r="G733" s="3">
        <f t="shared" si="44"/>
        <v>5.2421386173311726E-3</v>
      </c>
      <c r="H733">
        <f t="shared" si="45"/>
        <v>4103.6495000000004</v>
      </c>
      <c r="I733" s="3">
        <f t="shared" si="46"/>
        <v>9.3960198343615575E-3</v>
      </c>
      <c r="J733" s="5" t="str">
        <f t="shared" si="47"/>
        <v>低风险用户</v>
      </c>
    </row>
    <row r="734" spans="1:10" x14ac:dyDescent="0.3">
      <c r="A734" s="1">
        <v>46034</v>
      </c>
      <c r="B734" s="2">
        <v>4117.74</v>
      </c>
      <c r="C734" s="2">
        <v>4119.99</v>
      </c>
      <c r="D734" s="2">
        <v>4137.25</v>
      </c>
      <c r="E734" s="2">
        <v>4113.83</v>
      </c>
      <c r="F734" t="s">
        <v>726</v>
      </c>
      <c r="G734" s="3">
        <f t="shared" si="44"/>
        <v>-3.1012819116099308E-3</v>
      </c>
      <c r="H734">
        <f t="shared" si="45"/>
        <v>4104.2035000000005</v>
      </c>
      <c r="I734" s="3">
        <f t="shared" si="46"/>
        <v>9.813514464917043E-3</v>
      </c>
      <c r="J734" s="5" t="str">
        <f t="shared" si="47"/>
        <v>高风险用户</v>
      </c>
    </row>
    <row r="735" spans="1:10" x14ac:dyDescent="0.3">
      <c r="A735" s="1">
        <v>46035</v>
      </c>
      <c r="B735" s="2">
        <v>4126.9399999999996</v>
      </c>
      <c r="C735" s="2">
        <v>4068.73</v>
      </c>
      <c r="D735" s="2">
        <v>4135.4799999999996</v>
      </c>
      <c r="E735" s="2">
        <v>4061.22</v>
      </c>
      <c r="F735" t="s">
        <v>727</v>
      </c>
      <c r="G735" s="3">
        <f t="shared" si="44"/>
        <v>2.2342352844035365E-3</v>
      </c>
      <c r="H735">
        <f t="shared" si="45"/>
        <v>4107.3740000000007</v>
      </c>
      <c r="I735" s="3">
        <f t="shared" si="46"/>
        <v>9.9965487698246164E-3</v>
      </c>
      <c r="J735" s="5" t="str">
        <f t="shared" si="47"/>
        <v>高风险用户</v>
      </c>
    </row>
    <row r="736" spans="1:10" x14ac:dyDescent="0.3">
      <c r="A736" s="1">
        <v>46036</v>
      </c>
      <c r="B736" s="2">
        <v>4069.46</v>
      </c>
      <c r="C736" s="2">
        <v>4058.13</v>
      </c>
      <c r="D736" s="2">
        <v>4074.26</v>
      </c>
      <c r="E736" s="2">
        <v>4026.45</v>
      </c>
      <c r="F736" t="s">
        <v>728</v>
      </c>
      <c r="G736" s="3">
        <f t="shared" si="44"/>
        <v>-1.3927995076254942E-2</v>
      </c>
      <c r="H736">
        <f t="shared" si="45"/>
        <v>4110.8235000000004</v>
      </c>
      <c r="I736" s="3">
        <f t="shared" si="46"/>
        <v>1.0010508910550005E-2</v>
      </c>
      <c r="J736" s="5" t="str">
        <f t="shared" si="47"/>
        <v>高风险用户</v>
      </c>
    </row>
    <row r="737" spans="1:10" x14ac:dyDescent="0.3">
      <c r="A737" s="1">
        <v>46037</v>
      </c>
      <c r="B737" s="2">
        <v>4043.84</v>
      </c>
      <c r="C737" s="2">
        <v>4040.46</v>
      </c>
      <c r="D737" s="2">
        <v>4067.03</v>
      </c>
      <c r="E737" s="2">
        <v>4034.52</v>
      </c>
      <c r="F737" t="s">
        <v>729</v>
      </c>
      <c r="G737" s="3">
        <f t="shared" si="44"/>
        <v>-6.2956755933219373E-3</v>
      </c>
      <c r="H737">
        <f t="shared" si="45"/>
        <v>4115.1935000000003</v>
      </c>
      <c r="I737" s="3">
        <f t="shared" si="46"/>
        <v>9.6995511667015075E-3</v>
      </c>
      <c r="J737" s="5" t="str">
        <f t="shared" si="47"/>
        <v>高风险用户</v>
      </c>
    </row>
    <row r="738" spans="1:10" x14ac:dyDescent="0.3">
      <c r="A738" s="1">
        <v>46038</v>
      </c>
      <c r="B738" s="2">
        <v>4061.05</v>
      </c>
      <c r="C738" s="2">
        <v>4100.99</v>
      </c>
      <c r="D738" s="2">
        <v>4102.6099999999997</v>
      </c>
      <c r="E738" s="2">
        <v>4048.24</v>
      </c>
      <c r="F738" t="s">
        <v>730</v>
      </c>
      <c r="G738" s="3">
        <f t="shared" si="44"/>
        <v>4.2558558202105022E-3</v>
      </c>
      <c r="H738">
        <f t="shared" si="45"/>
        <v>4123.0689999999995</v>
      </c>
      <c r="I738" s="3">
        <f t="shared" si="46"/>
        <v>9.7612147719364321E-3</v>
      </c>
      <c r="J738" s="5" t="str">
        <f t="shared" si="47"/>
        <v>高风险用户</v>
      </c>
    </row>
    <row r="739" spans="1:10" x14ac:dyDescent="0.3">
      <c r="A739" s="1">
        <v>46041</v>
      </c>
      <c r="B739" s="2">
        <v>4103.6499999999996</v>
      </c>
      <c r="C739" s="2">
        <v>4106.21</v>
      </c>
      <c r="D739" s="2">
        <v>4132.3900000000003</v>
      </c>
      <c r="E739" s="2">
        <v>4088.21</v>
      </c>
      <c r="F739" t="s">
        <v>731</v>
      </c>
      <c r="G739" s="3">
        <f t="shared" si="44"/>
        <v>1.0489897932800496E-2</v>
      </c>
      <c r="H739">
        <f t="shared" si="45"/>
        <v>4129.0929999999998</v>
      </c>
      <c r="I739" s="3">
        <f t="shared" si="46"/>
        <v>9.8557995586487628E-3</v>
      </c>
      <c r="J739" s="5" t="str">
        <f t="shared" si="47"/>
        <v>高风险用户</v>
      </c>
    </row>
    <row r="740" spans="1:10" x14ac:dyDescent="0.3">
      <c r="A740" s="1">
        <v>46042</v>
      </c>
      <c r="B740" s="2">
        <v>4106.95</v>
      </c>
      <c r="C740" s="2">
        <v>4118.97</v>
      </c>
      <c r="D740" s="2">
        <v>4134.88</v>
      </c>
      <c r="E740" s="2">
        <v>4101.8599999999997</v>
      </c>
      <c r="F740" t="s">
        <v>732</v>
      </c>
      <c r="G740" s="3">
        <f t="shared" si="44"/>
        <v>8.041621483314079E-4</v>
      </c>
      <c r="H740">
        <f t="shared" si="45"/>
        <v>4131.7110000000002</v>
      </c>
      <c r="I740" s="3">
        <f t="shared" si="46"/>
        <v>9.7579262994671231E-3</v>
      </c>
      <c r="J740" s="5" t="str">
        <f t="shared" si="47"/>
        <v>高风险用户</v>
      </c>
    </row>
    <row r="741" spans="1:10" x14ac:dyDescent="0.3">
      <c r="A741" s="1">
        <v>46043</v>
      </c>
      <c r="B741" s="2">
        <v>4144.3500000000004</v>
      </c>
      <c r="C741" s="2">
        <v>4130.0600000000004</v>
      </c>
      <c r="D741" s="2">
        <v>4151.8</v>
      </c>
      <c r="E741" s="2">
        <v>4116.2700000000004</v>
      </c>
      <c r="F741" t="s">
        <v>733</v>
      </c>
      <c r="G741" s="3">
        <f t="shared" si="44"/>
        <v>9.1065145667710949E-3</v>
      </c>
      <c r="H741">
        <f t="shared" si="45"/>
        <v>4132.878999999999</v>
      </c>
      <c r="I741" s="3">
        <f t="shared" si="46"/>
        <v>9.8776034663286202E-3</v>
      </c>
      <c r="J741" s="5" t="str">
        <f t="shared" si="47"/>
        <v>高风险用户</v>
      </c>
    </row>
    <row r="742" spans="1:10" x14ac:dyDescent="0.3">
      <c r="A742" s="1">
        <v>46044</v>
      </c>
      <c r="B742" s="2">
        <v>4133.49</v>
      </c>
      <c r="C742" s="2">
        <v>4039.96</v>
      </c>
      <c r="D742" s="2">
        <v>4134.8599999999997</v>
      </c>
      <c r="E742" s="2">
        <v>4035.48</v>
      </c>
      <c r="F742" t="s">
        <v>734</v>
      </c>
      <c r="G742" s="3">
        <f t="shared" si="44"/>
        <v>-2.6204350501286282E-3</v>
      </c>
      <c r="H742">
        <f t="shared" si="45"/>
        <v>4132.5235000000002</v>
      </c>
      <c r="I742" s="3">
        <f t="shared" si="46"/>
        <v>9.6676516927506478E-3</v>
      </c>
      <c r="J742" s="5" t="str">
        <f t="shared" si="47"/>
        <v>高风险用户</v>
      </c>
    </row>
    <row r="743" spans="1:10" x14ac:dyDescent="0.3">
      <c r="A743" s="1">
        <v>46045</v>
      </c>
      <c r="B743" s="2">
        <v>4034.51</v>
      </c>
      <c r="C743" s="2">
        <v>4086.22</v>
      </c>
      <c r="D743" s="2">
        <v>4104.6400000000003</v>
      </c>
      <c r="E743" s="2">
        <v>4032.93</v>
      </c>
      <c r="F743" t="s">
        <v>735</v>
      </c>
      <c r="G743" s="3">
        <f t="shared" si="44"/>
        <v>-2.3945866567960626E-2</v>
      </c>
      <c r="H743">
        <f t="shared" si="45"/>
        <v>4132.7470000000003</v>
      </c>
      <c r="I743" s="3">
        <f t="shared" si="46"/>
        <v>9.648589253443229E-3</v>
      </c>
      <c r="J743" s="5" t="str">
        <f t="shared" si="47"/>
        <v>高风险用户</v>
      </c>
    </row>
    <row r="744" spans="1:10" x14ac:dyDescent="0.3">
      <c r="A744" s="1">
        <v>46048</v>
      </c>
      <c r="B744" s="2">
        <v>4093.49</v>
      </c>
      <c r="C744" s="2">
        <v>4125.41</v>
      </c>
      <c r="D744" s="2">
        <v>4167.8999999999996</v>
      </c>
      <c r="E744" s="2">
        <v>4068.86</v>
      </c>
      <c r="F744" t="s">
        <v>736</v>
      </c>
      <c r="G744" s="3">
        <f t="shared" si="44"/>
        <v>1.4618875650326697E-2</v>
      </c>
      <c r="H744">
        <f t="shared" si="45"/>
        <v>4134.7405000000008</v>
      </c>
      <c r="I744" s="3">
        <f t="shared" si="46"/>
        <v>8.6636565336311953E-3</v>
      </c>
      <c r="J744" s="5" t="str">
        <f t="shared" si="47"/>
        <v>低风险用户</v>
      </c>
    </row>
    <row r="745" spans="1:10" x14ac:dyDescent="0.3">
      <c r="A745" s="1">
        <v>46049</v>
      </c>
      <c r="B745" s="2">
        <v>4123.6899999999996</v>
      </c>
      <c r="C745" s="2">
        <v>4146.8500000000004</v>
      </c>
      <c r="D745" s="2">
        <v>4153.72</v>
      </c>
      <c r="E745" s="2">
        <v>4115.97</v>
      </c>
      <c r="F745" t="s">
        <v>737</v>
      </c>
      <c r="G745" s="3">
        <f t="shared" si="44"/>
        <v>7.3775677966722332E-3</v>
      </c>
      <c r="H745">
        <f t="shared" si="45"/>
        <v>4130.9595000000008</v>
      </c>
      <c r="I745" s="3">
        <f t="shared" si="46"/>
        <v>8.5662995454594201E-3</v>
      </c>
      <c r="J745" s="5" t="str">
        <f t="shared" si="47"/>
        <v>低风险用户</v>
      </c>
    </row>
    <row r="746" spans="1:10" x14ac:dyDescent="0.3">
      <c r="A746" s="1">
        <v>46050</v>
      </c>
      <c r="B746" s="2">
        <v>4145.29</v>
      </c>
      <c r="C746" s="2">
        <v>4151.25</v>
      </c>
      <c r="D746" s="2">
        <v>4152.05</v>
      </c>
      <c r="E746" s="2">
        <v>4125.26</v>
      </c>
      <c r="F746" t="s">
        <v>738</v>
      </c>
      <c r="G746" s="3">
        <f t="shared" si="44"/>
        <v>5.2380271067903666E-3</v>
      </c>
      <c r="H746">
        <f t="shared" si="45"/>
        <v>4125.2765000000009</v>
      </c>
      <c r="I746" s="3">
        <f t="shared" si="46"/>
        <v>8.3431057967352472E-3</v>
      </c>
      <c r="J746" s="5" t="str">
        <f t="shared" si="47"/>
        <v>低风险用户</v>
      </c>
    </row>
    <row r="747" spans="1:10" x14ac:dyDescent="0.3">
      <c r="A747" s="1">
        <v>46051</v>
      </c>
      <c r="B747" s="2">
        <v>4143.57</v>
      </c>
      <c r="C747" s="2">
        <v>4098.88</v>
      </c>
      <c r="D747" s="2">
        <v>4146.45</v>
      </c>
      <c r="E747" s="2">
        <v>4092.27</v>
      </c>
      <c r="F747" t="s">
        <v>739</v>
      </c>
      <c r="G747" s="3">
        <f t="shared" si="44"/>
        <v>-4.1492875046142842E-4</v>
      </c>
      <c r="H747">
        <f t="shared" si="45"/>
        <v>4118.8855000000003</v>
      </c>
      <c r="I747" s="3">
        <f t="shared" si="46"/>
        <v>8.2358340733115609E-3</v>
      </c>
      <c r="J747" s="5" t="str">
        <f t="shared" si="47"/>
        <v>低风险用户</v>
      </c>
    </row>
    <row r="748" spans="1:10" x14ac:dyDescent="0.3">
      <c r="A748" s="1">
        <v>46052</v>
      </c>
      <c r="B748" s="2">
        <v>4106.3100000000004</v>
      </c>
      <c r="C748" s="2">
        <v>4124.1000000000004</v>
      </c>
      <c r="D748" s="2">
        <v>4125.29</v>
      </c>
      <c r="E748" s="2">
        <v>4092.35</v>
      </c>
      <c r="F748" t="s">
        <v>740</v>
      </c>
      <c r="G748" s="3">
        <f t="shared" si="44"/>
        <v>-8.9922458170127E-3</v>
      </c>
      <c r="H748">
        <f t="shared" si="45"/>
        <v>4112.3629999999994</v>
      </c>
      <c r="I748" s="3">
        <f t="shared" si="46"/>
        <v>8.2324174666741062E-3</v>
      </c>
      <c r="J748" s="5" t="str">
        <f t="shared" si="47"/>
        <v>低风险用户</v>
      </c>
    </row>
    <row r="749" spans="1:10" x14ac:dyDescent="0.3">
      <c r="A749" s="1">
        <v>46055</v>
      </c>
      <c r="B749" s="2">
        <v>4130.8599999999997</v>
      </c>
      <c r="C749" s="2">
        <v>4067.56</v>
      </c>
      <c r="D749" s="2">
        <v>4130.8599999999997</v>
      </c>
      <c r="E749" s="2">
        <v>4064.75</v>
      </c>
      <c r="F749" t="s">
        <v>741</v>
      </c>
      <c r="G749" s="3">
        <f t="shared" si="44"/>
        <v>5.9786036611944229E-3</v>
      </c>
      <c r="H749">
        <f t="shared" si="45"/>
        <v>4106.0919999999987</v>
      </c>
      <c r="I749" s="3">
        <f t="shared" si="46"/>
        <v>8.1894799232386777E-3</v>
      </c>
      <c r="J749" s="5" t="str">
        <f t="shared" si="47"/>
        <v>低风险用户</v>
      </c>
    </row>
    <row r="750" spans="1:10" x14ac:dyDescent="0.3">
      <c r="A750" s="1">
        <v>46056</v>
      </c>
      <c r="B750" s="2">
        <v>4076.14</v>
      </c>
      <c r="C750" s="2">
        <v>4099.8599999999997</v>
      </c>
      <c r="D750" s="2">
        <v>4111.47</v>
      </c>
      <c r="E750" s="2">
        <v>4072.65</v>
      </c>
      <c r="F750" t="s">
        <v>742</v>
      </c>
      <c r="G750" s="3">
        <f t="shared" si="44"/>
        <v>-1.3246636293653091E-2</v>
      </c>
      <c r="H750">
        <f t="shared" si="45"/>
        <v>4097.9780000000001</v>
      </c>
      <c r="I750" s="3">
        <f t="shared" si="46"/>
        <v>8.0014858560410202E-3</v>
      </c>
      <c r="J750" s="5" t="str">
        <f t="shared" si="47"/>
        <v>低风险用户</v>
      </c>
    </row>
    <row r="751" spans="1:10" x14ac:dyDescent="0.3">
      <c r="A751" s="1">
        <v>46057</v>
      </c>
      <c r="B751" s="2">
        <v>4094.23</v>
      </c>
      <c r="C751" s="2">
        <v>4098.3100000000004</v>
      </c>
      <c r="D751" s="2">
        <v>4107.34</v>
      </c>
      <c r="E751" s="2">
        <v>4077.96</v>
      </c>
      <c r="F751" t="s">
        <v>743</v>
      </c>
      <c r="G751" s="3">
        <f t="shared" si="44"/>
        <v>4.438022246537201E-3</v>
      </c>
      <c r="H751">
        <f t="shared" si="45"/>
        <v>4088.8184999999989</v>
      </c>
      <c r="I751" s="3">
        <f t="shared" si="46"/>
        <v>8.5210480354299244E-3</v>
      </c>
      <c r="J751" s="5" t="str">
        <f t="shared" si="47"/>
        <v>低风险用户</v>
      </c>
    </row>
    <row r="752" spans="1:10" x14ac:dyDescent="0.3">
      <c r="A752" s="1">
        <v>46058</v>
      </c>
      <c r="B752" s="2">
        <v>4086.88</v>
      </c>
      <c r="C752" s="2">
        <v>4103.83</v>
      </c>
      <c r="D752" s="2">
        <v>4105.9399999999996</v>
      </c>
      <c r="E752" s="2">
        <v>4065.22</v>
      </c>
      <c r="F752" t="s">
        <v>744</v>
      </c>
      <c r="G752" s="3">
        <f t="shared" si="44"/>
        <v>-1.7952093556053053E-3</v>
      </c>
      <c r="H752">
        <f t="shared" si="45"/>
        <v>4078.5019999999995</v>
      </c>
      <c r="I752" s="3">
        <f t="shared" si="46"/>
        <v>8.3790262249863693E-3</v>
      </c>
      <c r="J752" s="5" t="str">
        <f t="shared" si="47"/>
        <v>低风险用户</v>
      </c>
    </row>
    <row r="753" spans="1:10" x14ac:dyDescent="0.3">
      <c r="A753" s="1">
        <v>46059</v>
      </c>
      <c r="B753" s="2">
        <v>4141.63</v>
      </c>
      <c r="C753" s="2">
        <v>4162.03</v>
      </c>
      <c r="D753" s="2">
        <v>4162.03</v>
      </c>
      <c r="E753" s="2">
        <v>4103.17</v>
      </c>
      <c r="F753" t="s">
        <v>745</v>
      </c>
      <c r="G753" s="3">
        <f t="shared" si="44"/>
        <v>1.3396527424343264E-2</v>
      </c>
      <c r="H753">
        <f t="shared" si="45"/>
        <v>4078.0610526315781</v>
      </c>
      <c r="I753" s="3">
        <f t="shared" si="46"/>
        <v>8.6067025011619357E-3</v>
      </c>
      <c r="J753" s="5" t="str">
        <f t="shared" si="47"/>
        <v>低风险用户</v>
      </c>
    </row>
    <row r="754" spans="1:10" x14ac:dyDescent="0.3">
      <c r="A754" s="1">
        <v>46062</v>
      </c>
      <c r="B754" s="2">
        <v>4181.1499999999996</v>
      </c>
      <c r="C754" s="2">
        <v>4207.41</v>
      </c>
      <c r="D754" s="2">
        <v>4207.41</v>
      </c>
      <c r="E754" s="2">
        <v>4170.5600000000004</v>
      </c>
      <c r="F754" t="s">
        <v>746</v>
      </c>
      <c r="G754" s="3">
        <f t="shared" si="44"/>
        <v>9.5421367915529704E-3</v>
      </c>
      <c r="H754">
        <f t="shared" si="45"/>
        <v>4074.5294444444444</v>
      </c>
      <c r="I754" s="3">
        <f t="shared" si="46"/>
        <v>7.909949338991305E-3</v>
      </c>
      <c r="J754" s="5" t="str">
        <f t="shared" si="47"/>
        <v>低风险用户</v>
      </c>
    </row>
    <row r="755" spans="1:10" x14ac:dyDescent="0.3">
      <c r="A755" s="1">
        <v>46063</v>
      </c>
      <c r="B755" s="2">
        <v>4195.93</v>
      </c>
      <c r="C755" s="2">
        <v>4170.13</v>
      </c>
      <c r="D755" s="2">
        <v>4195.93</v>
      </c>
      <c r="E755" s="2">
        <v>4137.7700000000004</v>
      </c>
      <c r="F755" t="s">
        <v>747</v>
      </c>
      <c r="G755" s="3">
        <f t="shared" si="44"/>
        <v>3.5349126436508274E-3</v>
      </c>
      <c r="H755">
        <f t="shared" si="45"/>
        <v>4068.2576470588237</v>
      </c>
      <c r="I755" s="3">
        <f t="shared" si="46"/>
        <v>7.4338420208157714E-3</v>
      </c>
      <c r="J755" s="5" t="str">
        <f t="shared" si="47"/>
        <v>低风险用户</v>
      </c>
    </row>
    <row r="756" spans="1:10" x14ac:dyDescent="0.3">
      <c r="A756" s="1">
        <v>46064</v>
      </c>
      <c r="B756" s="2">
        <v>4156.8599999999997</v>
      </c>
      <c r="C756" s="2">
        <v>4200.58</v>
      </c>
      <c r="D756" s="2">
        <v>4212.7299999999996</v>
      </c>
      <c r="E756" s="2">
        <v>4153.05</v>
      </c>
      <c r="F756" t="s">
        <v>432</v>
      </c>
      <c r="G756" s="3">
        <f t="shared" si="44"/>
        <v>-9.3114041463991572E-3</v>
      </c>
      <c r="H756">
        <f t="shared" si="45"/>
        <v>4060.2781250000003</v>
      </c>
      <c r="I756" s="3">
        <f t="shared" si="46"/>
        <v>7.3933682272517278E-3</v>
      </c>
      <c r="J756" s="5" t="str">
        <f t="shared" si="47"/>
        <v>低风险用户</v>
      </c>
    </row>
    <row r="757" spans="1:10" x14ac:dyDescent="0.3">
      <c r="A757" s="1">
        <v>46065</v>
      </c>
      <c r="B757" s="2">
        <v>4201.3500000000004</v>
      </c>
      <c r="C757" s="2">
        <v>4267.63</v>
      </c>
      <c r="D757" s="2">
        <v>4268.1499999999996</v>
      </c>
      <c r="E757" s="2">
        <v>4197.8599999999997</v>
      </c>
      <c r="F757" t="s">
        <v>292</v>
      </c>
      <c r="G757" s="3">
        <f t="shared" si="44"/>
        <v>1.0702790086748338E-2</v>
      </c>
      <c r="H757">
        <f t="shared" si="45"/>
        <v>4053.8393333333338</v>
      </c>
      <c r="I757" s="3">
        <f t="shared" si="46"/>
        <v>7.5475774176740305E-3</v>
      </c>
      <c r="J757" s="5" t="str">
        <f t="shared" si="47"/>
        <v>低风险用户</v>
      </c>
    </row>
    <row r="758" spans="1:10" x14ac:dyDescent="0.3">
      <c r="A758" s="1">
        <v>46066</v>
      </c>
      <c r="B758" s="2">
        <v>4181.53</v>
      </c>
      <c r="C758" s="2">
        <v>4166.84</v>
      </c>
      <c r="D758" s="2">
        <v>4189.83</v>
      </c>
      <c r="E758" s="2">
        <v>4161.67</v>
      </c>
      <c r="F758" t="s">
        <v>748</v>
      </c>
      <c r="G758" s="3">
        <f t="shared" si="44"/>
        <v>-4.7175312697110734E-3</v>
      </c>
      <c r="H758">
        <f t="shared" si="45"/>
        <v>4043.3028571428576</v>
      </c>
      <c r="I758" s="3">
        <f t="shared" si="46"/>
        <v>6.5186131824636088E-3</v>
      </c>
      <c r="J758" s="5" t="str">
        <f t="shared" si="47"/>
        <v>低风险用户</v>
      </c>
    </row>
    <row r="759" spans="1:10" x14ac:dyDescent="0.3">
      <c r="A759" s="1">
        <v>46077</v>
      </c>
      <c r="B759" s="2">
        <v>4156.01</v>
      </c>
      <c r="C759" s="2">
        <v>4125.58</v>
      </c>
      <c r="D759" s="2">
        <v>4156.01</v>
      </c>
      <c r="E759" s="2">
        <v>4105.9799999999996</v>
      </c>
      <c r="F759" t="s">
        <v>749</v>
      </c>
      <c r="G759" s="3">
        <f t="shared" si="44"/>
        <v>-6.1030292739737676E-3</v>
      </c>
      <c r="H759">
        <f t="shared" si="45"/>
        <v>4032.67</v>
      </c>
      <c r="I759" s="3">
        <f t="shared" si="46"/>
        <v>6.7807048888101759E-3</v>
      </c>
      <c r="J759" s="5" t="str">
        <f t="shared" si="47"/>
        <v>低风险用户</v>
      </c>
    </row>
    <row r="760" spans="1:10" x14ac:dyDescent="0.3">
      <c r="A760" s="1">
        <v>46078</v>
      </c>
      <c r="B760" s="2">
        <v>4130.3100000000004</v>
      </c>
      <c r="C760" s="2">
        <v>4140.1000000000004</v>
      </c>
      <c r="D760" s="2">
        <v>4151.46</v>
      </c>
      <c r="E760" s="2">
        <v>4125.7700000000004</v>
      </c>
      <c r="F760" t="s">
        <v>750</v>
      </c>
      <c r="G760" s="3">
        <f t="shared" si="44"/>
        <v>-6.1838157271035966E-3</v>
      </c>
      <c r="H760">
        <f t="shared" si="45"/>
        <v>4022.3916666666664</v>
      </c>
      <c r="I760" s="3">
        <f t="shared" si="46"/>
        <v>7.0801914260864114E-3</v>
      </c>
      <c r="J760" s="5" t="str">
        <f t="shared" si="47"/>
        <v>低风险用户</v>
      </c>
    </row>
    <row r="761" spans="1:10" x14ac:dyDescent="0.3">
      <c r="A761" s="1">
        <v>46079</v>
      </c>
      <c r="B761" s="2">
        <v>4137.24</v>
      </c>
      <c r="C761" s="2">
        <v>4138.84</v>
      </c>
      <c r="D761" s="2">
        <v>4148.58</v>
      </c>
      <c r="E761" s="2">
        <v>4118.16</v>
      </c>
      <c r="F761" t="s">
        <v>751</v>
      </c>
      <c r="G761" s="3">
        <f t="shared" si="44"/>
        <v>1.6778401621184321E-3</v>
      </c>
      <c r="H761">
        <f t="shared" si="45"/>
        <v>4012.5809090909092</v>
      </c>
      <c r="I761" s="3">
        <f t="shared" si="46"/>
        <v>7.4225162201773552E-3</v>
      </c>
      <c r="J761" s="5" t="str">
        <f t="shared" si="47"/>
        <v>低风险用户</v>
      </c>
    </row>
    <row r="762" spans="1:10" x14ac:dyDescent="0.3">
      <c r="A762" s="1">
        <v>46080</v>
      </c>
      <c r="B762" s="2">
        <v>4137.96</v>
      </c>
      <c r="C762" s="2">
        <v>4077.88</v>
      </c>
      <c r="D762" s="2">
        <v>4177.1000000000004</v>
      </c>
      <c r="E762" s="2">
        <v>4076.64</v>
      </c>
      <c r="F762" t="s">
        <v>752</v>
      </c>
      <c r="G762" s="3">
        <f t="shared" si="44"/>
        <v>1.740290628535581E-4</v>
      </c>
      <c r="H762">
        <f t="shared" si="45"/>
        <v>4000.1149999999993</v>
      </c>
      <c r="I762" s="3">
        <f t="shared" si="46"/>
        <v>7.4156241353919693E-3</v>
      </c>
      <c r="J762" s="5" t="str">
        <f t="shared" si="47"/>
        <v>低风险用户</v>
      </c>
    </row>
    <row r="763" spans="1:10" x14ac:dyDescent="0.3">
      <c r="A763" s="1">
        <v>46083</v>
      </c>
      <c r="B763" s="2">
        <v>4074.38</v>
      </c>
      <c r="C763" s="2">
        <v>4032.29</v>
      </c>
      <c r="D763" s="2">
        <v>4074.38</v>
      </c>
      <c r="E763" s="2">
        <v>4027.89</v>
      </c>
      <c r="F763" t="s">
        <v>753</v>
      </c>
      <c r="G763" s="3">
        <f t="shared" si="44"/>
        <v>-1.536505911125287E-2</v>
      </c>
      <c r="H763">
        <f t="shared" si="45"/>
        <v>3984.7988888888885</v>
      </c>
      <c r="I763" s="3">
        <f t="shared" si="46"/>
        <v>7.5015044948626439E-3</v>
      </c>
      <c r="J763" s="5" t="str">
        <f t="shared" si="47"/>
        <v>低风险用户</v>
      </c>
    </row>
    <row r="764" spans="1:10" x14ac:dyDescent="0.3">
      <c r="A764" s="1">
        <v>46084</v>
      </c>
      <c r="B764" s="2">
        <v>4017.87</v>
      </c>
      <c r="C764" s="2">
        <v>4021.75</v>
      </c>
      <c r="D764" s="2">
        <v>4030.29</v>
      </c>
      <c r="E764" s="2">
        <v>4003.51</v>
      </c>
      <c r="F764" t="s">
        <v>754</v>
      </c>
      <c r="G764" s="3">
        <f t="shared" si="44"/>
        <v>-1.3869594883147918E-2</v>
      </c>
      <c r="H764">
        <f t="shared" si="45"/>
        <v>3973.6012500000002</v>
      </c>
      <c r="I764" s="3">
        <f t="shared" si="46"/>
        <v>7.2616773085233659E-3</v>
      </c>
      <c r="J764" s="5" t="str">
        <f t="shared" si="47"/>
        <v>低风险用户</v>
      </c>
    </row>
    <row r="765" spans="1:10" x14ac:dyDescent="0.3">
      <c r="A765" s="1">
        <v>46085</v>
      </c>
      <c r="B765" s="2">
        <v>4010.03</v>
      </c>
      <c r="C765" s="2">
        <v>4019.88</v>
      </c>
      <c r="D765" s="2">
        <v>4043.4</v>
      </c>
      <c r="E765" s="2">
        <v>4008.02</v>
      </c>
      <c r="F765" t="s">
        <v>755</v>
      </c>
      <c r="G765" s="3">
        <f t="shared" si="44"/>
        <v>-1.9512826447843487E-3</v>
      </c>
      <c r="H765">
        <f t="shared" si="45"/>
        <v>3967.2771428571427</v>
      </c>
      <c r="I765" s="3">
        <f t="shared" si="46"/>
        <v>7.0118146436464485E-3</v>
      </c>
      <c r="J765" s="5" t="str">
        <f t="shared" si="47"/>
        <v>低风险用户</v>
      </c>
    </row>
    <row r="766" spans="1:10" x14ac:dyDescent="0.3">
      <c r="A766" s="1">
        <v>46086</v>
      </c>
      <c r="B766" s="2">
        <v>4017.47</v>
      </c>
      <c r="C766" s="2">
        <v>4014.71</v>
      </c>
      <c r="D766" s="2">
        <v>4030.46</v>
      </c>
      <c r="E766" s="2">
        <v>4002.23</v>
      </c>
      <c r="F766" t="s">
        <v>756</v>
      </c>
      <c r="G766" s="3">
        <f t="shared" si="44"/>
        <v>1.8553477156030252E-3</v>
      </c>
      <c r="H766">
        <f t="shared" si="45"/>
        <v>3960.1516666666666</v>
      </c>
      <c r="I766" s="3">
        <f t="shared" si="46"/>
        <v>7.5683581878783828E-3</v>
      </c>
      <c r="J766" s="5" t="str">
        <f t="shared" si="47"/>
        <v>低风险用户</v>
      </c>
    </row>
    <row r="767" spans="1:10" x14ac:dyDescent="0.3">
      <c r="A767" s="1">
        <v>46087</v>
      </c>
      <c r="B767" s="2">
        <v>4013.12</v>
      </c>
      <c r="C767" s="2">
        <v>3998.53</v>
      </c>
      <c r="D767" s="2">
        <v>4023.09</v>
      </c>
      <c r="E767" s="2">
        <v>3990.71</v>
      </c>
      <c r="F767" t="s">
        <v>757</v>
      </c>
      <c r="G767" s="3">
        <f t="shared" si="44"/>
        <v>-1.0827709976676638E-3</v>
      </c>
      <c r="H767">
        <f t="shared" si="45"/>
        <v>3948.6880000000006</v>
      </c>
      <c r="I767" s="3">
        <f t="shared" si="46"/>
        <v>7.5507410500074527E-3</v>
      </c>
      <c r="J767" s="5" t="str">
        <f t="shared" si="47"/>
        <v>低风险用户</v>
      </c>
    </row>
    <row r="768" spans="1:10" x14ac:dyDescent="0.3">
      <c r="A768" s="1">
        <v>46090</v>
      </c>
      <c r="B768" s="2">
        <v>3980.89</v>
      </c>
      <c r="C768" s="2">
        <v>3969.55</v>
      </c>
      <c r="D768" s="2">
        <v>4000.41</v>
      </c>
      <c r="E768" s="2">
        <v>3966.47</v>
      </c>
      <c r="F768" t="s">
        <v>758</v>
      </c>
      <c r="G768" s="3">
        <f t="shared" si="44"/>
        <v>-8.0311578024081058E-3</v>
      </c>
      <c r="H768">
        <f t="shared" si="45"/>
        <v>3932.5799999999995</v>
      </c>
      <c r="I768" s="3">
        <f t="shared" si="46"/>
        <v>7.9834712094049923E-3</v>
      </c>
      <c r="J768" s="5" t="str">
        <f t="shared" si="47"/>
        <v>低风险用户</v>
      </c>
    </row>
    <row r="769" spans="1:10" x14ac:dyDescent="0.3">
      <c r="A769" s="1">
        <v>46091</v>
      </c>
      <c r="B769" s="2">
        <v>3968.58</v>
      </c>
      <c r="C769" s="2">
        <v>3913.49</v>
      </c>
      <c r="D769" s="2">
        <v>3974.88</v>
      </c>
      <c r="E769" s="2">
        <v>3912.26</v>
      </c>
      <c r="F769" t="s">
        <v>759</v>
      </c>
      <c r="G769" s="3">
        <f t="shared" si="44"/>
        <v>-3.0922733358620673E-3</v>
      </c>
      <c r="H769">
        <f t="shared" si="45"/>
        <v>3916.4766666666669</v>
      </c>
      <c r="I769" s="3">
        <f t="shared" si="46"/>
        <v>9.7768240322443026E-3</v>
      </c>
      <c r="J769" s="5" t="str">
        <f t="shared" si="47"/>
        <v>高风险用户</v>
      </c>
    </row>
    <row r="770" spans="1:10" x14ac:dyDescent="0.3">
      <c r="A770" s="1">
        <v>46092</v>
      </c>
      <c r="B770" s="2">
        <v>3892.95</v>
      </c>
      <c r="C770" s="2">
        <v>3886.25</v>
      </c>
      <c r="D770" s="2">
        <v>3905.9</v>
      </c>
      <c r="E770" s="2">
        <v>3873.65</v>
      </c>
      <c r="F770" t="s">
        <v>760</v>
      </c>
      <c r="G770" s="3">
        <f t="shared" si="44"/>
        <v>-1.9057194260919549E-2</v>
      </c>
      <c r="H770">
        <f t="shared" si="45"/>
        <v>3890.4250000000002</v>
      </c>
      <c r="I770" s="3">
        <f t="shared" si="46"/>
        <v>1.2558200522049147E-2</v>
      </c>
      <c r="J770" s="5" t="str">
        <f t="shared" si="47"/>
        <v>高风险用户</v>
      </c>
    </row>
    <row r="771" spans="1:10" x14ac:dyDescent="0.3">
      <c r="A771" s="1">
        <v>46093</v>
      </c>
      <c r="B771" s="2">
        <v>3887.9</v>
      </c>
      <c r="C771" s="2">
        <v>3864.84</v>
      </c>
      <c r="D771" s="2">
        <v>3893.99</v>
      </c>
      <c r="E771" s="2">
        <v>3831.25</v>
      </c>
      <c r="F771" t="s">
        <v>761</v>
      </c>
      <c r="G771" s="3">
        <f>IFERROR((B771-B770)/B770,"")</f>
        <v>-1.2972167636367607E-3</v>
      </c>
      <c r="H771">
        <f>AVERAGE(B771:B790)</f>
        <v>3887.9</v>
      </c>
      <c r="I771" s="3" t="str">
        <f>IFERROR(STDEV(G771:G790),"")</f>
        <v/>
      </c>
      <c r="J771" s="5" t="str">
        <f>IF(ROW()&lt;22,"未知",IF(I771&gt;AVERAGE(I:I),"高风险用户","低风险用户"))</f>
        <v>高风险用户</v>
      </c>
    </row>
  </sheetData>
  <sortState xmlns:xlrd2="http://schemas.microsoft.com/office/spreadsheetml/2017/richdata2" ref="A2:A787">
    <sortCondition ref="A1:A787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7354C-100C-495D-94C2-74C63E0A9623}">
  <dimension ref="A1:G12"/>
  <sheetViews>
    <sheetView showGridLines="0" zoomScaleNormal="100" workbookViewId="0">
      <selection activeCell="J11" sqref="J11"/>
    </sheetView>
  </sheetViews>
  <sheetFormatPr defaultRowHeight="14" x14ac:dyDescent="0.3"/>
  <cols>
    <col min="1" max="1" width="10.58203125" style="6" bestFit="1" customWidth="1"/>
    <col min="2" max="2" width="14.33203125" style="7" bestFit="1" customWidth="1"/>
    <col min="3" max="3" width="10.4140625" bestFit="1" customWidth="1"/>
    <col min="4" max="6" width="10.4140625" style="7" customWidth="1"/>
    <col min="7" max="7" width="8.75" customWidth="1"/>
  </cols>
  <sheetData>
    <row r="1" spans="1:7" ht="100" customHeight="1" x14ac:dyDescent="0.3">
      <c r="A1" s="10" t="s">
        <v>780</v>
      </c>
      <c r="B1" s="10"/>
      <c r="C1" s="10"/>
      <c r="D1" s="10"/>
      <c r="E1" s="10"/>
      <c r="F1" s="10"/>
      <c r="G1" s="10"/>
    </row>
    <row r="2" spans="1:7" ht="25" customHeight="1" x14ac:dyDescent="0.3">
      <c r="A2" s="11" t="s">
        <v>782</v>
      </c>
      <c r="B2" s="12"/>
      <c r="C2" s="12"/>
      <c r="D2" s="12"/>
      <c r="E2" s="12"/>
      <c r="F2" s="12"/>
    </row>
    <row r="3" spans="1:7" x14ac:dyDescent="0.3">
      <c r="A3" s="8" t="s">
        <v>764</v>
      </c>
      <c r="B3" s="13" t="s">
        <v>775</v>
      </c>
      <c r="C3" s="15" t="s">
        <v>776</v>
      </c>
      <c r="D3" s="13" t="s">
        <v>777</v>
      </c>
      <c r="E3" s="13" t="s">
        <v>778</v>
      </c>
      <c r="F3" s="13" t="s">
        <v>779</v>
      </c>
    </row>
    <row r="4" spans="1:7" x14ac:dyDescent="0.3">
      <c r="B4" s="13"/>
      <c r="C4" s="14">
        <v>1</v>
      </c>
      <c r="D4" s="13"/>
      <c r="E4" s="13">
        <v>0</v>
      </c>
      <c r="F4" s="13">
        <v>0</v>
      </c>
    </row>
    <row r="5" spans="1:7" x14ac:dyDescent="0.3">
      <c r="A5" s="6" t="s">
        <v>773</v>
      </c>
      <c r="B5" s="13">
        <v>1.9016569932559465E-4</v>
      </c>
      <c r="C5" s="14">
        <v>500</v>
      </c>
      <c r="D5" s="13">
        <v>7.4733668763997448E-3</v>
      </c>
      <c r="E5" s="13">
        <v>2.1814714466783715E-2</v>
      </c>
      <c r="F5" s="13">
        <v>-2.8070659392304728E-2</v>
      </c>
    </row>
    <row r="6" spans="1:7" x14ac:dyDescent="0.3">
      <c r="A6" s="6" t="s">
        <v>774</v>
      </c>
      <c r="B6" s="13">
        <v>-9.4371385346705755E-4</v>
      </c>
      <c r="C6" s="14">
        <v>250</v>
      </c>
      <c r="D6" s="13">
        <v>1.3644529502699062E-2</v>
      </c>
      <c r="E6" s="13">
        <v>7.5864893149105994E-2</v>
      </c>
      <c r="F6" s="13">
        <v>-7.8193561232997769E-2</v>
      </c>
    </row>
    <row r="7" spans="1:7" ht="13.5" hidden="1" customHeight="1" x14ac:dyDescent="0.3">
      <c r="A7" s="6" t="s">
        <v>783</v>
      </c>
      <c r="B7" s="13">
        <v>-8.8035669994701544E-5</v>
      </c>
      <c r="C7" s="14">
        <v>19</v>
      </c>
      <c r="D7" s="13">
        <v>8.8853618060812413E-3</v>
      </c>
      <c r="E7" s="13">
        <v>1.5629631220601913E-2</v>
      </c>
      <c r="F7" s="13">
        <v>-1.5990472678880971E-2</v>
      </c>
    </row>
    <row r="8" spans="1:7" hidden="1" x14ac:dyDescent="0.3">
      <c r="A8" s="6" t="s">
        <v>784</v>
      </c>
      <c r="B8" s="13"/>
      <c r="C8" s="14"/>
      <c r="D8" s="13"/>
      <c r="E8" s="13"/>
      <c r="F8" s="13"/>
    </row>
    <row r="9" spans="1:7" x14ac:dyDescent="0.3">
      <c r="A9" s="6" t="s">
        <v>767</v>
      </c>
      <c r="B9" s="16">
        <v>-1.8532937767732941E-4</v>
      </c>
      <c r="C9" s="14">
        <v>770</v>
      </c>
      <c r="D9" s="13">
        <v>9.5091056753743349E-3</v>
      </c>
      <c r="E9" s="13">
        <v>7.5864893149105994E-2</v>
      </c>
      <c r="F9" s="16">
        <v>-7.8193561232997769E-2</v>
      </c>
    </row>
    <row r="12" spans="1:7" ht="409.5" customHeight="1" x14ac:dyDescent="0.3">
      <c r="A12" s="17" t="s">
        <v>781</v>
      </c>
      <c r="B12" s="17"/>
      <c r="C12" s="17"/>
      <c r="D12" s="17"/>
      <c r="E12" s="17"/>
      <c r="F12" s="17"/>
      <c r="G12" s="6"/>
    </row>
  </sheetData>
  <mergeCells count="3">
    <mergeCell ref="A1:G1"/>
    <mergeCell ref="A12:F12"/>
    <mergeCell ref="A2:F2"/>
  </mergeCells>
  <phoneticPr fontId="18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4AD2-52ED-486D-A784-FE7A007561D7}">
  <dimension ref="D17:I21"/>
  <sheetViews>
    <sheetView showGridLines="0" tabSelected="1" topLeftCell="A7" workbookViewId="0">
      <selection activeCell="M22" sqref="M22"/>
    </sheetView>
  </sheetViews>
  <sheetFormatPr defaultRowHeight="14" x14ac:dyDescent="0.3"/>
  <sheetData>
    <row r="17" spans="4:9" ht="15.5" x14ac:dyDescent="0.3">
      <c r="D17" s="9"/>
      <c r="E17" s="9"/>
      <c r="F17" s="9"/>
      <c r="G17" s="9"/>
      <c r="H17" s="9"/>
      <c r="I17" s="9"/>
    </row>
    <row r="18" spans="4:9" x14ac:dyDescent="0.3">
      <c r="D18" s="6" t="s">
        <v>764</v>
      </c>
      <c r="E18" s="7" t="s">
        <v>775</v>
      </c>
      <c r="G18" s="7" t="s">
        <v>777</v>
      </c>
      <c r="H18" s="7"/>
      <c r="I18" s="7"/>
    </row>
    <row r="19" spans="4:9" x14ac:dyDescent="0.3">
      <c r="D19" s="6"/>
      <c r="E19" s="7"/>
      <c r="G19" s="7"/>
      <c r="H19" s="7"/>
      <c r="I19" s="7"/>
    </row>
    <row r="20" spans="4:9" x14ac:dyDescent="0.3">
      <c r="D20" s="6" t="s">
        <v>773</v>
      </c>
      <c r="E20" s="7">
        <v>1.901656993255944E-4</v>
      </c>
      <c r="G20" s="7">
        <v>7.4733668763997448E-3</v>
      </c>
      <c r="H20" s="7"/>
      <c r="I20" s="7"/>
    </row>
    <row r="21" spans="4:9" x14ac:dyDescent="0.3">
      <c r="D21" s="6" t="s">
        <v>774</v>
      </c>
      <c r="E21" s="7">
        <v>-9.437138534670582E-4</v>
      </c>
      <c r="G21" s="7">
        <v>1.3644529502699064E-2</v>
      </c>
      <c r="H21" s="7"/>
      <c r="I21" s="7"/>
    </row>
  </sheetData>
  <mergeCells count="1">
    <mergeCell ref="D17:I17"/>
  </mergeCells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沪深300指数历史数据</vt:lpstr>
      <vt:lpstr>数据分析</vt:lpstr>
      <vt:lpstr>分析结果</vt:lpstr>
      <vt:lpstr>可视化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凯允 罗</cp:lastModifiedBy>
  <dcterms:created xsi:type="dcterms:W3CDTF">2026-03-12T06:33:22Z</dcterms:created>
  <dcterms:modified xsi:type="dcterms:W3CDTF">2026-03-12T09:43:07Z</dcterms:modified>
</cp:coreProperties>
</file>